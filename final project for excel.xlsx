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sar krunal\OneDrive\Documents\excel\"/>
    </mc:Choice>
  </mc:AlternateContent>
  <xr:revisionPtr revIDLastSave="0" documentId="13_ncr:1_{73987A3B-3475-4877-ADDB-4D1F2431E565}" xr6:coauthVersionLast="47" xr6:coauthVersionMax="47" xr10:uidLastSave="{00000000-0000-0000-0000-000000000000}"/>
  <bookViews>
    <workbookView xWindow="11424" yWindow="0" windowWidth="11712" windowHeight="12336" xr2:uid="{38632732-756B-4F19-A1A1-93CB4B21C3C5}"/>
  </bookViews>
  <sheets>
    <sheet name="Dashboard" sheetId="13" r:id="rId1"/>
    <sheet name="Raw Data" sheetId="1" r:id="rId2"/>
    <sheet name="Analysis" sheetId="2" r:id="rId3"/>
    <sheet name="Customers" sheetId="3" r:id="rId4"/>
    <sheet name="Filter" sheetId="4" r:id="rId5"/>
    <sheet name="Date_Time" sheetId="5" r:id="rId6"/>
    <sheet name="Whatif" sheetId="6" r:id="rId7"/>
    <sheet name="Regression" sheetId="7" r:id="rId8"/>
    <sheet name="Text_Lists" sheetId="8" r:id="rId9"/>
    <sheet name="Visualizations" sheetId="9" r:id="rId10"/>
    <sheet name="Insights" sheetId="10" r:id="rId11"/>
    <sheet name="Pivot_Guide" sheetId="11" r:id="rId12"/>
    <sheet name="Dash_Calc" sheetId="12" r:id="rId13"/>
  </sheets>
  <externalReferences>
    <externalReference r:id="rId14"/>
  </externalReferences>
  <definedNames>
    <definedName name="crit_C">Dash_Calc!$B$4</definedName>
    <definedName name="crit_R">Dash_Calc!$B$3</definedName>
    <definedName name="sel_Cat">'Raw Data'!$G$5</definedName>
    <definedName name="sel_Cat_1">Dashboard!$G$5</definedName>
    <definedName name="sel_From">'Raw Data'!$K$5</definedName>
    <definedName name="sel_From_1">Dashboard!$K$5</definedName>
    <definedName name="sel_Region">'Raw Data'!$C$5</definedName>
    <definedName name="sel_Region_1">Dashboard!$C$5</definedName>
    <definedName name="sel_To">'Raw Data'!$O$5</definedName>
    <definedName name="sel_To_1">Dashboard!$O$5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3" l="1"/>
  <c r="H10" i="13"/>
  <c r="N46" i="13"/>
  <c r="N47" i="13"/>
  <c r="N48" i="13"/>
  <c r="N49" i="13"/>
  <c r="U7" i="12"/>
  <c r="X7" i="12" s="1"/>
  <c r="U8" i="12"/>
  <c r="U9" i="12"/>
  <c r="U10" i="12"/>
  <c r="Y9" i="12" s="1"/>
  <c r="X10" i="12"/>
  <c r="U11" i="12"/>
  <c r="U12" i="12"/>
  <c r="U13" i="12"/>
  <c r="U14" i="12"/>
  <c r="U15" i="12"/>
  <c r="U16" i="12"/>
  <c r="D23" i="12"/>
  <c r="G24" i="12" s="1"/>
  <c r="D24" i="12"/>
  <c r="D25" i="12"/>
  <c r="G23" i="12" s="1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36" i="10"/>
  <c r="C6" i="8"/>
  <c r="D6" i="8"/>
  <c r="E6" i="8"/>
  <c r="F6" i="8"/>
  <c r="I6" i="8"/>
  <c r="J6" i="8"/>
  <c r="C7" i="8"/>
  <c r="D7" i="8"/>
  <c r="E7" i="8"/>
  <c r="F7" i="8"/>
  <c r="I7" i="8"/>
  <c r="J7" i="8"/>
  <c r="C8" i="8"/>
  <c r="D8" i="8"/>
  <c r="E8" i="8"/>
  <c r="F8" i="8"/>
  <c r="I8" i="8"/>
  <c r="J8" i="8"/>
  <c r="C9" i="8"/>
  <c r="D9" i="8"/>
  <c r="E9" i="8"/>
  <c r="F9" i="8"/>
  <c r="I9" i="8"/>
  <c r="J9" i="8"/>
  <c r="C10" i="8"/>
  <c r="D10" i="8"/>
  <c r="E10" i="8"/>
  <c r="F10" i="8"/>
  <c r="I10" i="8"/>
  <c r="J10" i="8"/>
  <c r="C11" i="8"/>
  <c r="D11" i="8"/>
  <c r="E11" i="8"/>
  <c r="F11" i="8"/>
  <c r="I11" i="8"/>
  <c r="J11" i="8"/>
  <c r="C12" i="8"/>
  <c r="D12" i="8"/>
  <c r="E12" i="8"/>
  <c r="F12" i="8"/>
  <c r="I12" i="8"/>
  <c r="J12" i="8"/>
  <c r="C13" i="8"/>
  <c r="D13" i="8"/>
  <c r="E13" i="8"/>
  <c r="F13" i="8"/>
  <c r="I13" i="8"/>
  <c r="J13" i="8"/>
  <c r="C14" i="8"/>
  <c r="D14" i="8"/>
  <c r="E14" i="8"/>
  <c r="F14" i="8"/>
  <c r="I14" i="8"/>
  <c r="J14" i="8"/>
  <c r="C15" i="8"/>
  <c r="D15" i="8"/>
  <c r="E15" i="8"/>
  <c r="F15" i="8"/>
  <c r="I15" i="8"/>
  <c r="J15" i="8"/>
  <c r="C16" i="8"/>
  <c r="D16" i="8"/>
  <c r="E16" i="8"/>
  <c r="F16" i="8"/>
  <c r="C17" i="8"/>
  <c r="D17" i="8"/>
  <c r="E17" i="8"/>
  <c r="F17" i="8"/>
  <c r="C18" i="8"/>
  <c r="D18" i="8"/>
  <c r="E18" i="8"/>
  <c r="F18" i="8"/>
  <c r="C19" i="8"/>
  <c r="D19" i="8"/>
  <c r="E19" i="8"/>
  <c r="F19" i="8"/>
  <c r="C20" i="8"/>
  <c r="D20" i="8"/>
  <c r="E20" i="8"/>
  <c r="F20" i="8"/>
  <c r="C21" i="8"/>
  <c r="D21" i="8"/>
  <c r="E21" i="8"/>
  <c r="F21" i="8"/>
  <c r="K21" i="8"/>
  <c r="C22" i="8"/>
  <c r="D22" i="8"/>
  <c r="E22" i="8"/>
  <c r="F22" i="8"/>
  <c r="K22" i="8"/>
  <c r="C23" i="8"/>
  <c r="D23" i="8"/>
  <c r="E23" i="8"/>
  <c r="F23" i="8"/>
  <c r="K23" i="8"/>
  <c r="C24" i="8"/>
  <c r="D24" i="8"/>
  <c r="E24" i="8"/>
  <c r="F24" i="8"/>
  <c r="C25" i="8"/>
  <c r="D25" i="8"/>
  <c r="E25" i="8"/>
  <c r="F25" i="8"/>
  <c r="C26" i="8"/>
  <c r="D26" i="8"/>
  <c r="E26" i="8"/>
  <c r="F26" i="8"/>
  <c r="C27" i="8"/>
  <c r="D27" i="8"/>
  <c r="E27" i="8"/>
  <c r="F27" i="8"/>
  <c r="C28" i="8"/>
  <c r="D28" i="8"/>
  <c r="E28" i="8"/>
  <c r="F28" i="8"/>
  <c r="C29" i="8"/>
  <c r="D29" i="8"/>
  <c r="E29" i="8"/>
  <c r="F29" i="8"/>
  <c r="K29" i="8"/>
  <c r="C30" i="8"/>
  <c r="D30" i="8"/>
  <c r="E30" i="8"/>
  <c r="F30" i="8"/>
  <c r="C31" i="8"/>
  <c r="D31" i="8"/>
  <c r="E31" i="8"/>
  <c r="F31" i="8"/>
  <c r="K31" i="8"/>
  <c r="C32" i="8"/>
  <c r="D32" i="8"/>
  <c r="E32" i="8"/>
  <c r="F32" i="8"/>
  <c r="C33" i="8"/>
  <c r="D33" i="8"/>
  <c r="E33" i="8"/>
  <c r="F33" i="8"/>
  <c r="C34" i="8"/>
  <c r="D34" i="8"/>
  <c r="E34" i="8"/>
  <c r="F34" i="8"/>
  <c r="C35" i="8"/>
  <c r="D35" i="8"/>
  <c r="E35" i="8"/>
  <c r="F35" i="8"/>
  <c r="K35" i="8"/>
  <c r="C36" i="8"/>
  <c r="D36" i="8"/>
  <c r="E36" i="8"/>
  <c r="F36" i="8"/>
  <c r="C37" i="8"/>
  <c r="D37" i="8"/>
  <c r="E37" i="8"/>
  <c r="F37" i="8"/>
  <c r="C38" i="8"/>
  <c r="D38" i="8"/>
  <c r="E38" i="8"/>
  <c r="F38" i="8"/>
  <c r="C39" i="8"/>
  <c r="D39" i="8"/>
  <c r="E39" i="8"/>
  <c r="F39" i="8"/>
  <c r="C40" i="8"/>
  <c r="D40" i="8"/>
  <c r="E40" i="8"/>
  <c r="F40" i="8"/>
  <c r="C41" i="8"/>
  <c r="D41" i="8"/>
  <c r="E41" i="8"/>
  <c r="F41" i="8"/>
  <c r="C42" i="8"/>
  <c r="D42" i="8"/>
  <c r="E42" i="8"/>
  <c r="F42" i="8"/>
  <c r="C43" i="8"/>
  <c r="D43" i="8"/>
  <c r="E43" i="8"/>
  <c r="F43" i="8"/>
  <c r="C44" i="8"/>
  <c r="D44" i="8"/>
  <c r="E44" i="8"/>
  <c r="F44" i="8"/>
  <c r="K44" i="8"/>
  <c r="C45" i="8"/>
  <c r="D45" i="8"/>
  <c r="E45" i="8"/>
  <c r="F45" i="8"/>
  <c r="C46" i="8"/>
  <c r="D46" i="8"/>
  <c r="E46" i="8"/>
  <c r="F46" i="8"/>
  <c r="C47" i="8"/>
  <c r="D47" i="8"/>
  <c r="E47" i="8"/>
  <c r="F47" i="8"/>
  <c r="C48" i="8"/>
  <c r="D48" i="8"/>
  <c r="E48" i="8"/>
  <c r="F48" i="8"/>
  <c r="C49" i="8"/>
  <c r="D49" i="8"/>
  <c r="E49" i="8"/>
  <c r="F49" i="8"/>
  <c r="C50" i="8"/>
  <c r="D50" i="8"/>
  <c r="E50" i="8"/>
  <c r="F50" i="8"/>
  <c r="C51" i="8"/>
  <c r="D51" i="8"/>
  <c r="E51" i="8"/>
  <c r="F51" i="8"/>
  <c r="K51" i="8"/>
  <c r="C52" i="8"/>
  <c r="D52" i="8"/>
  <c r="E52" i="8"/>
  <c r="F52" i="8"/>
  <c r="C53" i="8"/>
  <c r="D53" i="8"/>
  <c r="E53" i="8"/>
  <c r="F53" i="8"/>
  <c r="C54" i="8"/>
  <c r="D54" i="8"/>
  <c r="E54" i="8"/>
  <c r="F54" i="8"/>
  <c r="K54" i="8"/>
  <c r="C55" i="8"/>
  <c r="D55" i="8"/>
  <c r="E55" i="8"/>
  <c r="F55" i="8"/>
  <c r="K56" i="8"/>
  <c r="K60" i="8"/>
  <c r="K62" i="8"/>
  <c r="K64" i="8"/>
  <c r="B6" i="7"/>
  <c r="B7" i="7"/>
  <c r="B8" i="7"/>
  <c r="B9" i="7"/>
  <c r="B10" i="7"/>
  <c r="H10" i="7"/>
  <c r="H14" i="7" s="1"/>
  <c r="B11" i="7"/>
  <c r="B12" i="7"/>
  <c r="B13" i="7"/>
  <c r="B14" i="7"/>
  <c r="B15" i="7"/>
  <c r="I15" i="7"/>
  <c r="B16" i="7"/>
  <c r="H26" i="7" s="1"/>
  <c r="F6" i="6"/>
  <c r="F7" i="6"/>
  <c r="F8" i="6"/>
  <c r="C16" i="6"/>
  <c r="D29" i="6" s="1"/>
  <c r="F27" i="6"/>
  <c r="G27" i="6"/>
  <c r="F29" i="6"/>
  <c r="E30" i="6"/>
  <c r="F30" i="6"/>
  <c r="C37" i="6"/>
  <c r="C39" i="6"/>
  <c r="C40" i="6"/>
  <c r="C5" i="5"/>
  <c r="C6" i="5"/>
  <c r="C7" i="5"/>
  <c r="C12" i="5"/>
  <c r="C13" i="5"/>
  <c r="C14" i="5"/>
  <c r="C15" i="5"/>
  <c r="C16" i="5"/>
  <c r="C19" i="5"/>
  <c r="C20" i="5"/>
  <c r="C21" i="5"/>
  <c r="C22" i="5"/>
  <c r="C23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C46" i="5"/>
  <c r="C47" i="5"/>
  <c r="C48" i="5"/>
  <c r="C49" i="5"/>
  <c r="C50" i="5"/>
  <c r="C51" i="5"/>
  <c r="C52" i="5"/>
  <c r="C53" i="5"/>
  <c r="C54" i="5"/>
  <c r="O4" i="3"/>
  <c r="J7" i="3" s="1"/>
  <c r="F5" i="3"/>
  <c r="I5" i="3"/>
  <c r="P9" i="3" s="1"/>
  <c r="K5" i="3"/>
  <c r="L5" i="3"/>
  <c r="O30" i="3" s="1"/>
  <c r="O5" i="3"/>
  <c r="J9" i="3" s="1"/>
  <c r="F6" i="3"/>
  <c r="I6" i="3"/>
  <c r="O10" i="3" s="1"/>
  <c r="J6" i="3"/>
  <c r="K6" i="3"/>
  <c r="L6" i="3"/>
  <c r="O29" i="3" s="1"/>
  <c r="F7" i="3"/>
  <c r="I7" i="3"/>
  <c r="K7" i="3"/>
  <c r="L7" i="3"/>
  <c r="F8" i="3"/>
  <c r="I8" i="3"/>
  <c r="J8" i="3"/>
  <c r="K8" i="3"/>
  <c r="L8" i="3"/>
  <c r="F9" i="3"/>
  <c r="I9" i="3"/>
  <c r="Q16" i="3" s="1"/>
  <c r="K9" i="3"/>
  <c r="L9" i="3"/>
  <c r="F10" i="3"/>
  <c r="I10" i="3"/>
  <c r="J10" i="3"/>
  <c r="K10" i="3"/>
  <c r="L10" i="3"/>
  <c r="F11" i="3"/>
  <c r="I11" i="3"/>
  <c r="K11" i="3"/>
  <c r="L11" i="3"/>
  <c r="F12" i="3"/>
  <c r="I12" i="3"/>
  <c r="K12" i="3"/>
  <c r="L12" i="3"/>
  <c r="F13" i="3"/>
  <c r="I13" i="3"/>
  <c r="Q11" i="3" s="1"/>
  <c r="K13" i="3"/>
  <c r="L13" i="3"/>
  <c r="F14" i="3"/>
  <c r="I14" i="3"/>
  <c r="J14" i="3"/>
  <c r="K14" i="3"/>
  <c r="L14" i="3"/>
  <c r="F15" i="3"/>
  <c r="I15" i="3"/>
  <c r="K15" i="3"/>
  <c r="L15" i="3"/>
  <c r="F16" i="3"/>
  <c r="I16" i="3"/>
  <c r="K16" i="3"/>
  <c r="L16" i="3"/>
  <c r="F17" i="3"/>
  <c r="I17" i="3"/>
  <c r="J17" i="3"/>
  <c r="K17" i="3"/>
  <c r="L17" i="3"/>
  <c r="F18" i="3"/>
  <c r="I18" i="3"/>
  <c r="J18" i="3"/>
  <c r="K18" i="3"/>
  <c r="L18" i="3"/>
  <c r="F19" i="3"/>
  <c r="I19" i="3"/>
  <c r="K19" i="3"/>
  <c r="L19" i="3"/>
  <c r="F20" i="3"/>
  <c r="I20" i="3"/>
  <c r="J20" i="3"/>
  <c r="K20" i="3"/>
  <c r="L20" i="3"/>
  <c r="F21" i="3"/>
  <c r="I21" i="3"/>
  <c r="K21" i="3"/>
  <c r="L21" i="3"/>
  <c r="F22" i="3"/>
  <c r="I22" i="3"/>
  <c r="J22" i="3"/>
  <c r="K22" i="3"/>
  <c r="L22" i="3"/>
  <c r="F23" i="3"/>
  <c r="I23" i="3"/>
  <c r="K23" i="3"/>
  <c r="L23" i="3"/>
  <c r="F24" i="3"/>
  <c r="I24" i="3"/>
  <c r="J24" i="3"/>
  <c r="K24" i="3"/>
  <c r="L24" i="3"/>
  <c r="F25" i="3"/>
  <c r="I25" i="3"/>
  <c r="K25" i="3"/>
  <c r="L25" i="3"/>
  <c r="F26" i="3"/>
  <c r="I26" i="3"/>
  <c r="K26" i="3"/>
  <c r="L26" i="3"/>
  <c r="F27" i="3"/>
  <c r="I27" i="3"/>
  <c r="J27" i="3"/>
  <c r="K27" i="3"/>
  <c r="L27" i="3"/>
  <c r="F28" i="3"/>
  <c r="I28" i="3"/>
  <c r="J28" i="3"/>
  <c r="K28" i="3"/>
  <c r="L28" i="3"/>
  <c r="F29" i="3"/>
  <c r="I29" i="3"/>
  <c r="J29" i="3"/>
  <c r="K29" i="3"/>
  <c r="L29" i="3"/>
  <c r="F30" i="3"/>
  <c r="I30" i="3"/>
  <c r="J30" i="3"/>
  <c r="K30" i="3"/>
  <c r="L30" i="3"/>
  <c r="F31" i="3"/>
  <c r="I31" i="3"/>
  <c r="K31" i="3"/>
  <c r="L31" i="3"/>
  <c r="O31" i="3"/>
  <c r="F32" i="3"/>
  <c r="I32" i="3"/>
  <c r="J32" i="3"/>
  <c r="K32" i="3"/>
  <c r="L32" i="3"/>
  <c r="O32" i="3"/>
  <c r="F33" i="3"/>
  <c r="I33" i="3"/>
  <c r="J33" i="3"/>
  <c r="K33" i="3"/>
  <c r="L33" i="3"/>
  <c r="O33" i="3"/>
  <c r="F34" i="3"/>
  <c r="I34" i="3"/>
  <c r="J34" i="3"/>
  <c r="K34" i="3"/>
  <c r="L34" i="3"/>
  <c r="F35" i="3"/>
  <c r="I35" i="3"/>
  <c r="K35" i="3"/>
  <c r="L35" i="3"/>
  <c r="F36" i="3"/>
  <c r="I36" i="3"/>
  <c r="J36" i="3"/>
  <c r="K36" i="3"/>
  <c r="L36" i="3"/>
  <c r="F37" i="3"/>
  <c r="I37" i="3"/>
  <c r="K37" i="3"/>
  <c r="L37" i="3"/>
  <c r="F38" i="3"/>
  <c r="I38" i="3"/>
  <c r="J38" i="3"/>
  <c r="K38" i="3"/>
  <c r="L38" i="3"/>
  <c r="F39" i="3"/>
  <c r="I39" i="3"/>
  <c r="K39" i="3"/>
  <c r="L39" i="3"/>
  <c r="F40" i="3"/>
  <c r="I40" i="3"/>
  <c r="K40" i="3"/>
  <c r="L40" i="3"/>
  <c r="F41" i="3"/>
  <c r="I41" i="3"/>
  <c r="J41" i="3"/>
  <c r="K41" i="3"/>
  <c r="L41" i="3"/>
  <c r="F42" i="3"/>
  <c r="I42" i="3"/>
  <c r="K42" i="3"/>
  <c r="L42" i="3"/>
  <c r="F43" i="3"/>
  <c r="I43" i="3"/>
  <c r="J43" i="3"/>
  <c r="K43" i="3"/>
  <c r="L43" i="3"/>
  <c r="F44" i="3"/>
  <c r="I44" i="3"/>
  <c r="K44" i="3"/>
  <c r="L44" i="3"/>
  <c r="F45" i="3"/>
  <c r="I45" i="3"/>
  <c r="K45" i="3"/>
  <c r="L45" i="3"/>
  <c r="F46" i="3"/>
  <c r="I46" i="3"/>
  <c r="J46" i="3"/>
  <c r="K46" i="3"/>
  <c r="L46" i="3"/>
  <c r="F47" i="3"/>
  <c r="I47" i="3"/>
  <c r="K47" i="3"/>
  <c r="L47" i="3"/>
  <c r="F48" i="3"/>
  <c r="I48" i="3"/>
  <c r="J48" i="3"/>
  <c r="K48" i="3"/>
  <c r="L48" i="3"/>
  <c r="F49" i="3"/>
  <c r="I49" i="3"/>
  <c r="K49" i="3"/>
  <c r="L49" i="3"/>
  <c r="F50" i="3"/>
  <c r="I50" i="3"/>
  <c r="J50" i="3"/>
  <c r="K50" i="3"/>
  <c r="L50" i="3"/>
  <c r="F51" i="3"/>
  <c r="I51" i="3"/>
  <c r="J51" i="3"/>
  <c r="K51" i="3"/>
  <c r="L51" i="3"/>
  <c r="F52" i="3"/>
  <c r="I52" i="3"/>
  <c r="K52" i="3"/>
  <c r="L52" i="3"/>
  <c r="F53" i="3"/>
  <c r="I53" i="3"/>
  <c r="J53" i="3"/>
  <c r="K53" i="3"/>
  <c r="L53" i="3"/>
  <c r="F54" i="3"/>
  <c r="I54" i="3"/>
  <c r="K54" i="3"/>
  <c r="L54" i="3"/>
  <c r="B7" i="2"/>
  <c r="B11" i="2"/>
  <c r="B12" i="2"/>
  <c r="B13" i="2"/>
  <c r="B14" i="2"/>
  <c r="B15" i="2"/>
  <c r="B16" i="2"/>
  <c r="F22" i="2"/>
  <c r="F23" i="2"/>
  <c r="F24" i="2"/>
  <c r="B25" i="2"/>
  <c r="E22" i="2" s="1"/>
  <c r="C25" i="2"/>
  <c r="D25" i="2"/>
  <c r="F25" i="2" s="1"/>
  <c r="E30" i="2"/>
  <c r="F30" i="2"/>
  <c r="F31" i="2"/>
  <c r="F32" i="2"/>
  <c r="F33" i="2"/>
  <c r="E34" i="2"/>
  <c r="F34" i="2"/>
  <c r="B35" i="2"/>
  <c r="E33" i="2" s="1"/>
  <c r="C35" i="2"/>
  <c r="D35" i="2"/>
  <c r="F40" i="2"/>
  <c r="F41" i="2"/>
  <c r="F42" i="2"/>
  <c r="E43" i="2"/>
  <c r="F43" i="2"/>
  <c r="B44" i="2"/>
  <c r="E42" i="2" s="1"/>
  <c r="C44" i="2"/>
  <c r="D44" i="2"/>
  <c r="F49" i="2"/>
  <c r="F50" i="2"/>
  <c r="E51" i="2"/>
  <c r="F51" i="2"/>
  <c r="B52" i="2"/>
  <c r="E50" i="2" s="1"/>
  <c r="C52" i="2"/>
  <c r="D52" i="2"/>
  <c r="I57" i="2"/>
  <c r="J57" i="2"/>
  <c r="I58" i="2"/>
  <c r="J58" i="2"/>
  <c r="H59" i="2"/>
  <c r="I59" i="2"/>
  <c r="J59" i="2"/>
  <c r="H60" i="2"/>
  <c r="I60" i="2"/>
  <c r="J60" i="2"/>
  <c r="I61" i="2"/>
  <c r="J61" i="2"/>
  <c r="I62" i="2"/>
  <c r="J62" i="2"/>
  <c r="H63" i="2"/>
  <c r="I63" i="2"/>
  <c r="J63" i="2"/>
  <c r="H64" i="2"/>
  <c r="I64" i="2"/>
  <c r="J64" i="2"/>
  <c r="I65" i="2"/>
  <c r="J65" i="2"/>
  <c r="I66" i="2"/>
  <c r="J66" i="2"/>
  <c r="E67" i="2"/>
  <c r="F67" i="2"/>
  <c r="G67" i="2"/>
  <c r="H58" i="2" s="1"/>
  <c r="B72" i="2"/>
  <c r="F72" i="2"/>
  <c r="G72" i="2"/>
  <c r="A73" i="2"/>
  <c r="A74" i="2" s="1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C85" i="2"/>
  <c r="D85" i="2"/>
  <c r="E85" i="2"/>
  <c r="G90" i="2"/>
  <c r="G93" i="2" s="1"/>
  <c r="G91" i="2"/>
  <c r="G92" i="2"/>
  <c r="B93" i="2"/>
  <c r="C93" i="2"/>
  <c r="D93" i="2"/>
  <c r="E93" i="2"/>
  <c r="F93" i="2"/>
  <c r="O2" i="1"/>
  <c r="P2" i="1"/>
  <c r="Q2" i="1"/>
  <c r="R2" i="1"/>
  <c r="O3" i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O32" i="1"/>
  <c r="P32" i="1"/>
  <c r="Q32" i="1"/>
  <c r="R32" i="1"/>
  <c r="O33" i="1"/>
  <c r="P33" i="1"/>
  <c r="Q33" i="1"/>
  <c r="R33" i="1"/>
  <c r="O34" i="1"/>
  <c r="P34" i="1"/>
  <c r="Q34" i="1"/>
  <c r="R34" i="1"/>
  <c r="O35" i="1"/>
  <c r="P35" i="1"/>
  <c r="Q35" i="1"/>
  <c r="R35" i="1"/>
  <c r="O36" i="1"/>
  <c r="P36" i="1"/>
  <c r="Q36" i="1"/>
  <c r="R36" i="1"/>
  <c r="O37" i="1"/>
  <c r="P37" i="1"/>
  <c r="Q37" i="1"/>
  <c r="R37" i="1"/>
  <c r="O38" i="1"/>
  <c r="P38" i="1"/>
  <c r="Q38" i="1"/>
  <c r="R38" i="1"/>
  <c r="O39" i="1"/>
  <c r="P39" i="1"/>
  <c r="Q39" i="1"/>
  <c r="R39" i="1"/>
  <c r="O40" i="1"/>
  <c r="P40" i="1"/>
  <c r="Q40" i="1"/>
  <c r="R40" i="1"/>
  <c r="O41" i="1"/>
  <c r="P41" i="1"/>
  <c r="Q41" i="1"/>
  <c r="R41" i="1"/>
  <c r="O42" i="1"/>
  <c r="P42" i="1"/>
  <c r="Q42" i="1"/>
  <c r="R42" i="1"/>
  <c r="O43" i="1"/>
  <c r="P43" i="1"/>
  <c r="Q43" i="1"/>
  <c r="R43" i="1"/>
  <c r="O44" i="1"/>
  <c r="P44" i="1"/>
  <c r="Q44" i="1"/>
  <c r="R44" i="1"/>
  <c r="O45" i="1"/>
  <c r="P45" i="1"/>
  <c r="Q45" i="1"/>
  <c r="R45" i="1"/>
  <c r="O46" i="1"/>
  <c r="P46" i="1"/>
  <c r="Q46" i="1"/>
  <c r="R46" i="1"/>
  <c r="O47" i="1"/>
  <c r="P47" i="1"/>
  <c r="Q47" i="1"/>
  <c r="R47" i="1"/>
  <c r="O48" i="1"/>
  <c r="P48" i="1"/>
  <c r="Q48" i="1"/>
  <c r="R48" i="1"/>
  <c r="O49" i="1"/>
  <c r="P49" i="1"/>
  <c r="Q49" i="1"/>
  <c r="R49" i="1"/>
  <c r="O50" i="1"/>
  <c r="P50" i="1"/>
  <c r="Q50" i="1"/>
  <c r="R50" i="1"/>
  <c r="O51" i="1"/>
  <c r="P51" i="1"/>
  <c r="Q51" i="1"/>
  <c r="R51" i="1"/>
  <c r="O52" i="1"/>
  <c r="P52" i="1"/>
  <c r="Q52" i="1"/>
  <c r="R52" i="1"/>
  <c r="O53" i="1"/>
  <c r="P53" i="1"/>
  <c r="Q53" i="1"/>
  <c r="R53" i="1"/>
  <c r="O54" i="1"/>
  <c r="P54" i="1"/>
  <c r="Q54" i="1"/>
  <c r="R54" i="1"/>
  <c r="O55" i="1"/>
  <c r="P55" i="1"/>
  <c r="Q55" i="1"/>
  <c r="R55" i="1"/>
  <c r="O56" i="1"/>
  <c r="P56" i="1"/>
  <c r="Q56" i="1"/>
  <c r="R56" i="1"/>
  <c r="O57" i="1"/>
  <c r="P57" i="1"/>
  <c r="Q57" i="1"/>
  <c r="R57" i="1"/>
  <c r="O58" i="1"/>
  <c r="P58" i="1"/>
  <c r="Q58" i="1"/>
  <c r="R58" i="1"/>
  <c r="O59" i="1"/>
  <c r="P59" i="1"/>
  <c r="Q59" i="1"/>
  <c r="R59" i="1"/>
  <c r="O60" i="1"/>
  <c r="P60" i="1"/>
  <c r="Q60" i="1"/>
  <c r="R60" i="1"/>
  <c r="O61" i="1"/>
  <c r="P61" i="1"/>
  <c r="Q61" i="1"/>
  <c r="R61" i="1"/>
  <c r="O62" i="1"/>
  <c r="P62" i="1"/>
  <c r="Q62" i="1"/>
  <c r="R62" i="1"/>
  <c r="O63" i="1"/>
  <c r="P63" i="1"/>
  <c r="Q63" i="1"/>
  <c r="R63" i="1"/>
  <c r="O64" i="1"/>
  <c r="P64" i="1"/>
  <c r="Q64" i="1"/>
  <c r="R64" i="1"/>
  <c r="O65" i="1"/>
  <c r="P65" i="1"/>
  <c r="Q65" i="1"/>
  <c r="R65" i="1"/>
  <c r="O66" i="1"/>
  <c r="P66" i="1"/>
  <c r="Q66" i="1"/>
  <c r="R66" i="1"/>
  <c r="O67" i="1"/>
  <c r="P67" i="1"/>
  <c r="Q67" i="1"/>
  <c r="R67" i="1"/>
  <c r="O68" i="1"/>
  <c r="P68" i="1"/>
  <c r="Q68" i="1"/>
  <c r="R68" i="1"/>
  <c r="O69" i="1"/>
  <c r="P69" i="1"/>
  <c r="Q69" i="1"/>
  <c r="R69" i="1"/>
  <c r="O70" i="1"/>
  <c r="P70" i="1"/>
  <c r="Q70" i="1"/>
  <c r="R70" i="1"/>
  <c r="O71" i="1"/>
  <c r="P71" i="1"/>
  <c r="Q71" i="1"/>
  <c r="R71" i="1"/>
  <c r="O72" i="1"/>
  <c r="P72" i="1"/>
  <c r="Q72" i="1"/>
  <c r="R72" i="1"/>
  <c r="O73" i="1"/>
  <c r="P73" i="1"/>
  <c r="Q73" i="1"/>
  <c r="R73" i="1"/>
  <c r="O74" i="1"/>
  <c r="P74" i="1"/>
  <c r="Q74" i="1"/>
  <c r="R74" i="1"/>
  <c r="O75" i="1"/>
  <c r="P75" i="1"/>
  <c r="Q75" i="1"/>
  <c r="R75" i="1"/>
  <c r="O76" i="1"/>
  <c r="P76" i="1"/>
  <c r="Q76" i="1"/>
  <c r="R76" i="1"/>
  <c r="O77" i="1"/>
  <c r="P77" i="1"/>
  <c r="Q77" i="1"/>
  <c r="R77" i="1"/>
  <c r="O78" i="1"/>
  <c r="P78" i="1"/>
  <c r="Q78" i="1"/>
  <c r="R78" i="1"/>
  <c r="O79" i="1"/>
  <c r="P79" i="1"/>
  <c r="Q79" i="1"/>
  <c r="R79" i="1"/>
  <c r="O80" i="1"/>
  <c r="P80" i="1"/>
  <c r="Q80" i="1"/>
  <c r="R80" i="1"/>
  <c r="O81" i="1"/>
  <c r="P81" i="1"/>
  <c r="Q81" i="1"/>
  <c r="R81" i="1"/>
  <c r="O82" i="1"/>
  <c r="P82" i="1"/>
  <c r="Q82" i="1"/>
  <c r="R82" i="1"/>
  <c r="O83" i="1"/>
  <c r="P83" i="1"/>
  <c r="Q83" i="1"/>
  <c r="R83" i="1"/>
  <c r="O84" i="1"/>
  <c r="P84" i="1"/>
  <c r="Q84" i="1"/>
  <c r="R84" i="1"/>
  <c r="O85" i="1"/>
  <c r="P85" i="1"/>
  <c r="Q85" i="1"/>
  <c r="R85" i="1"/>
  <c r="O86" i="1"/>
  <c r="P86" i="1"/>
  <c r="Q86" i="1"/>
  <c r="R86" i="1"/>
  <c r="O87" i="1"/>
  <c r="P87" i="1"/>
  <c r="Q87" i="1"/>
  <c r="R87" i="1"/>
  <c r="O88" i="1"/>
  <c r="P88" i="1"/>
  <c r="Q88" i="1"/>
  <c r="R88" i="1"/>
  <c r="O89" i="1"/>
  <c r="P89" i="1"/>
  <c r="Q89" i="1"/>
  <c r="R89" i="1"/>
  <c r="O90" i="1"/>
  <c r="P90" i="1"/>
  <c r="Q90" i="1"/>
  <c r="R90" i="1"/>
  <c r="O91" i="1"/>
  <c r="P91" i="1"/>
  <c r="Q91" i="1"/>
  <c r="R91" i="1"/>
  <c r="O92" i="1"/>
  <c r="P92" i="1"/>
  <c r="Q92" i="1"/>
  <c r="R92" i="1"/>
  <c r="O93" i="1"/>
  <c r="P93" i="1"/>
  <c r="Q93" i="1"/>
  <c r="R93" i="1"/>
  <c r="O94" i="1"/>
  <c r="P94" i="1"/>
  <c r="Q94" i="1"/>
  <c r="R94" i="1"/>
  <c r="O95" i="1"/>
  <c r="P95" i="1"/>
  <c r="Q95" i="1"/>
  <c r="R95" i="1"/>
  <c r="O96" i="1"/>
  <c r="P96" i="1"/>
  <c r="Q96" i="1"/>
  <c r="R96" i="1"/>
  <c r="O97" i="1"/>
  <c r="P97" i="1"/>
  <c r="Q97" i="1"/>
  <c r="R97" i="1"/>
  <c r="O98" i="1"/>
  <c r="P98" i="1"/>
  <c r="Q98" i="1"/>
  <c r="R98" i="1"/>
  <c r="O99" i="1"/>
  <c r="P99" i="1"/>
  <c r="Q99" i="1"/>
  <c r="R99" i="1"/>
  <c r="O100" i="1"/>
  <c r="P100" i="1"/>
  <c r="Q100" i="1"/>
  <c r="R100" i="1"/>
  <c r="O101" i="1"/>
  <c r="P101" i="1"/>
  <c r="Q101" i="1"/>
  <c r="R101" i="1"/>
  <c r="O102" i="1"/>
  <c r="P102" i="1"/>
  <c r="Q102" i="1"/>
  <c r="R102" i="1"/>
  <c r="O103" i="1"/>
  <c r="P103" i="1"/>
  <c r="Q103" i="1"/>
  <c r="R103" i="1"/>
  <c r="O104" i="1"/>
  <c r="P104" i="1"/>
  <c r="Q104" i="1"/>
  <c r="R104" i="1"/>
  <c r="O105" i="1"/>
  <c r="P105" i="1"/>
  <c r="Q105" i="1"/>
  <c r="R105" i="1"/>
  <c r="O106" i="1"/>
  <c r="P106" i="1"/>
  <c r="Q106" i="1"/>
  <c r="R106" i="1"/>
  <c r="O107" i="1"/>
  <c r="P107" i="1"/>
  <c r="Q107" i="1"/>
  <c r="R107" i="1"/>
  <c r="O108" i="1"/>
  <c r="P108" i="1"/>
  <c r="Q108" i="1"/>
  <c r="R108" i="1"/>
  <c r="O109" i="1"/>
  <c r="P109" i="1"/>
  <c r="Q109" i="1"/>
  <c r="R109" i="1"/>
  <c r="O110" i="1"/>
  <c r="P110" i="1"/>
  <c r="Q110" i="1"/>
  <c r="R110" i="1"/>
  <c r="O111" i="1"/>
  <c r="P111" i="1"/>
  <c r="Q111" i="1"/>
  <c r="R111" i="1"/>
  <c r="O112" i="1"/>
  <c r="P112" i="1"/>
  <c r="Q112" i="1"/>
  <c r="R112" i="1"/>
  <c r="O113" i="1"/>
  <c r="P113" i="1"/>
  <c r="Q113" i="1"/>
  <c r="R113" i="1"/>
  <c r="O114" i="1"/>
  <c r="P114" i="1"/>
  <c r="Q114" i="1"/>
  <c r="R114" i="1"/>
  <c r="O115" i="1"/>
  <c r="P115" i="1"/>
  <c r="Q115" i="1"/>
  <c r="R115" i="1"/>
  <c r="O116" i="1"/>
  <c r="P116" i="1"/>
  <c r="Q116" i="1"/>
  <c r="R116" i="1"/>
  <c r="O117" i="1"/>
  <c r="P117" i="1"/>
  <c r="Q117" i="1"/>
  <c r="R117" i="1"/>
  <c r="O118" i="1"/>
  <c r="P118" i="1"/>
  <c r="Q118" i="1"/>
  <c r="R118" i="1"/>
  <c r="O119" i="1"/>
  <c r="P119" i="1"/>
  <c r="Q119" i="1"/>
  <c r="R119" i="1"/>
  <c r="O120" i="1"/>
  <c r="P120" i="1"/>
  <c r="Q120" i="1"/>
  <c r="R120" i="1"/>
  <c r="O121" i="1"/>
  <c r="P121" i="1"/>
  <c r="Q121" i="1"/>
  <c r="R121" i="1"/>
  <c r="O122" i="1"/>
  <c r="P122" i="1"/>
  <c r="Q122" i="1"/>
  <c r="R122" i="1"/>
  <c r="O123" i="1"/>
  <c r="P123" i="1"/>
  <c r="Q123" i="1"/>
  <c r="R123" i="1"/>
  <c r="O124" i="1"/>
  <c r="P124" i="1"/>
  <c r="Q124" i="1"/>
  <c r="R124" i="1"/>
  <c r="O125" i="1"/>
  <c r="P125" i="1"/>
  <c r="Q125" i="1"/>
  <c r="R125" i="1"/>
  <c r="O126" i="1"/>
  <c r="P126" i="1"/>
  <c r="Q126" i="1"/>
  <c r="R126" i="1"/>
  <c r="O127" i="1"/>
  <c r="P127" i="1"/>
  <c r="Q127" i="1"/>
  <c r="R127" i="1"/>
  <c r="O128" i="1"/>
  <c r="P128" i="1"/>
  <c r="Q128" i="1"/>
  <c r="R128" i="1"/>
  <c r="O129" i="1"/>
  <c r="P129" i="1"/>
  <c r="Q129" i="1"/>
  <c r="R129" i="1"/>
  <c r="O130" i="1"/>
  <c r="P130" i="1"/>
  <c r="Q130" i="1"/>
  <c r="R130" i="1"/>
  <c r="O131" i="1"/>
  <c r="P131" i="1"/>
  <c r="Q131" i="1"/>
  <c r="R131" i="1"/>
  <c r="O132" i="1"/>
  <c r="P132" i="1"/>
  <c r="Q132" i="1"/>
  <c r="R132" i="1"/>
  <c r="O133" i="1"/>
  <c r="P133" i="1"/>
  <c r="Q133" i="1"/>
  <c r="R133" i="1"/>
  <c r="O134" i="1"/>
  <c r="P134" i="1"/>
  <c r="Q134" i="1"/>
  <c r="R134" i="1"/>
  <c r="O135" i="1"/>
  <c r="P135" i="1"/>
  <c r="Q135" i="1"/>
  <c r="R135" i="1"/>
  <c r="O136" i="1"/>
  <c r="P136" i="1"/>
  <c r="Q136" i="1"/>
  <c r="R136" i="1"/>
  <c r="O137" i="1"/>
  <c r="P137" i="1"/>
  <c r="Q137" i="1"/>
  <c r="R137" i="1"/>
  <c r="O138" i="1"/>
  <c r="P138" i="1"/>
  <c r="Q138" i="1"/>
  <c r="R138" i="1"/>
  <c r="O139" i="1"/>
  <c r="P139" i="1"/>
  <c r="Q139" i="1"/>
  <c r="R139" i="1"/>
  <c r="O140" i="1"/>
  <c r="P140" i="1"/>
  <c r="Q140" i="1"/>
  <c r="R140" i="1"/>
  <c r="O141" i="1"/>
  <c r="P141" i="1"/>
  <c r="Q141" i="1"/>
  <c r="R141" i="1"/>
  <c r="O142" i="1"/>
  <c r="P142" i="1"/>
  <c r="Q142" i="1"/>
  <c r="R142" i="1"/>
  <c r="O143" i="1"/>
  <c r="P143" i="1"/>
  <c r="Q143" i="1"/>
  <c r="R143" i="1"/>
  <c r="O144" i="1"/>
  <c r="P144" i="1"/>
  <c r="Q144" i="1"/>
  <c r="R144" i="1"/>
  <c r="O145" i="1"/>
  <c r="P145" i="1"/>
  <c r="Q145" i="1"/>
  <c r="R145" i="1"/>
  <c r="O146" i="1"/>
  <c r="P146" i="1"/>
  <c r="Q146" i="1"/>
  <c r="R146" i="1"/>
  <c r="O147" i="1"/>
  <c r="P147" i="1"/>
  <c r="Q147" i="1"/>
  <c r="R147" i="1"/>
  <c r="O148" i="1"/>
  <c r="P148" i="1"/>
  <c r="Q148" i="1"/>
  <c r="R148" i="1"/>
  <c r="O149" i="1"/>
  <c r="P149" i="1"/>
  <c r="Q149" i="1"/>
  <c r="R149" i="1"/>
  <c r="O150" i="1"/>
  <c r="P150" i="1"/>
  <c r="Q150" i="1"/>
  <c r="R150" i="1"/>
  <c r="O151" i="1"/>
  <c r="P151" i="1"/>
  <c r="Q151" i="1"/>
  <c r="R151" i="1"/>
  <c r="O152" i="1"/>
  <c r="P152" i="1"/>
  <c r="Q152" i="1"/>
  <c r="R152" i="1"/>
  <c r="O153" i="1"/>
  <c r="P153" i="1"/>
  <c r="Q153" i="1"/>
  <c r="R153" i="1"/>
  <c r="O154" i="1"/>
  <c r="P154" i="1"/>
  <c r="Q154" i="1"/>
  <c r="R154" i="1"/>
  <c r="O155" i="1"/>
  <c r="P155" i="1"/>
  <c r="Q155" i="1"/>
  <c r="R155" i="1"/>
  <c r="O156" i="1"/>
  <c r="P156" i="1"/>
  <c r="Q156" i="1"/>
  <c r="R156" i="1"/>
  <c r="O157" i="1"/>
  <c r="P157" i="1"/>
  <c r="Q157" i="1"/>
  <c r="R157" i="1"/>
  <c r="O158" i="1"/>
  <c r="P158" i="1"/>
  <c r="Q158" i="1"/>
  <c r="R158" i="1"/>
  <c r="O159" i="1"/>
  <c r="P159" i="1"/>
  <c r="Q159" i="1"/>
  <c r="R159" i="1"/>
  <c r="O160" i="1"/>
  <c r="P160" i="1"/>
  <c r="Q160" i="1"/>
  <c r="R160" i="1"/>
  <c r="O161" i="1"/>
  <c r="P161" i="1"/>
  <c r="Q161" i="1"/>
  <c r="R161" i="1"/>
  <c r="O162" i="1"/>
  <c r="P162" i="1"/>
  <c r="Q162" i="1"/>
  <c r="R162" i="1"/>
  <c r="O163" i="1"/>
  <c r="P163" i="1"/>
  <c r="Q163" i="1"/>
  <c r="R163" i="1"/>
  <c r="O164" i="1"/>
  <c r="P164" i="1"/>
  <c r="Q164" i="1"/>
  <c r="R164" i="1"/>
  <c r="O165" i="1"/>
  <c r="P165" i="1"/>
  <c r="Q165" i="1"/>
  <c r="R165" i="1"/>
  <c r="O166" i="1"/>
  <c r="P166" i="1"/>
  <c r="Q166" i="1"/>
  <c r="R166" i="1"/>
  <c r="O167" i="1"/>
  <c r="P167" i="1"/>
  <c r="Q167" i="1"/>
  <c r="R167" i="1"/>
  <c r="O168" i="1"/>
  <c r="P168" i="1"/>
  <c r="Q168" i="1"/>
  <c r="R168" i="1"/>
  <c r="O169" i="1"/>
  <c r="P169" i="1"/>
  <c r="Q169" i="1"/>
  <c r="R169" i="1"/>
  <c r="O170" i="1"/>
  <c r="P170" i="1"/>
  <c r="Q170" i="1"/>
  <c r="R170" i="1"/>
  <c r="O171" i="1"/>
  <c r="P171" i="1"/>
  <c r="Q171" i="1"/>
  <c r="R171" i="1"/>
  <c r="O172" i="1"/>
  <c r="P172" i="1"/>
  <c r="Q172" i="1"/>
  <c r="R172" i="1"/>
  <c r="O173" i="1"/>
  <c r="P173" i="1"/>
  <c r="Q173" i="1"/>
  <c r="R173" i="1"/>
  <c r="O174" i="1"/>
  <c r="P174" i="1"/>
  <c r="Q174" i="1"/>
  <c r="R174" i="1"/>
  <c r="O175" i="1"/>
  <c r="P175" i="1"/>
  <c r="Q175" i="1"/>
  <c r="R175" i="1"/>
  <c r="O176" i="1"/>
  <c r="P176" i="1"/>
  <c r="Q176" i="1"/>
  <c r="R176" i="1"/>
  <c r="O177" i="1"/>
  <c r="P177" i="1"/>
  <c r="Q177" i="1"/>
  <c r="R177" i="1"/>
  <c r="O178" i="1"/>
  <c r="P178" i="1"/>
  <c r="Q178" i="1"/>
  <c r="R178" i="1"/>
  <c r="O179" i="1"/>
  <c r="P179" i="1"/>
  <c r="Q179" i="1"/>
  <c r="R179" i="1"/>
  <c r="O180" i="1"/>
  <c r="P180" i="1"/>
  <c r="Q180" i="1"/>
  <c r="R180" i="1"/>
  <c r="O181" i="1"/>
  <c r="P181" i="1"/>
  <c r="Q181" i="1"/>
  <c r="R181" i="1"/>
  <c r="O182" i="1"/>
  <c r="P182" i="1"/>
  <c r="Q182" i="1"/>
  <c r="R182" i="1"/>
  <c r="O183" i="1"/>
  <c r="P183" i="1"/>
  <c r="Q183" i="1"/>
  <c r="R183" i="1"/>
  <c r="O184" i="1"/>
  <c r="P184" i="1"/>
  <c r="Q184" i="1"/>
  <c r="R184" i="1"/>
  <c r="O185" i="1"/>
  <c r="P185" i="1"/>
  <c r="Q185" i="1"/>
  <c r="R185" i="1"/>
  <c r="O186" i="1"/>
  <c r="P186" i="1"/>
  <c r="Q186" i="1"/>
  <c r="R186" i="1"/>
  <c r="O187" i="1"/>
  <c r="P187" i="1"/>
  <c r="Q187" i="1"/>
  <c r="R187" i="1"/>
  <c r="O188" i="1"/>
  <c r="P188" i="1"/>
  <c r="Q188" i="1"/>
  <c r="R188" i="1"/>
  <c r="O189" i="1"/>
  <c r="P189" i="1"/>
  <c r="Q189" i="1"/>
  <c r="R189" i="1"/>
  <c r="O190" i="1"/>
  <c r="P190" i="1"/>
  <c r="Q190" i="1"/>
  <c r="R190" i="1"/>
  <c r="O191" i="1"/>
  <c r="P191" i="1"/>
  <c r="Q191" i="1"/>
  <c r="R191" i="1"/>
  <c r="O192" i="1"/>
  <c r="P192" i="1"/>
  <c r="Q192" i="1"/>
  <c r="R192" i="1"/>
  <c r="O193" i="1"/>
  <c r="P193" i="1"/>
  <c r="Q193" i="1"/>
  <c r="R193" i="1"/>
  <c r="O194" i="1"/>
  <c r="P194" i="1"/>
  <c r="Q194" i="1"/>
  <c r="R194" i="1"/>
  <c r="O195" i="1"/>
  <c r="P195" i="1"/>
  <c r="Q195" i="1"/>
  <c r="R195" i="1"/>
  <c r="O196" i="1"/>
  <c r="P196" i="1"/>
  <c r="Q196" i="1"/>
  <c r="R196" i="1"/>
  <c r="O197" i="1"/>
  <c r="P197" i="1"/>
  <c r="Q197" i="1"/>
  <c r="R197" i="1"/>
  <c r="O198" i="1"/>
  <c r="P198" i="1"/>
  <c r="Q198" i="1"/>
  <c r="R198" i="1"/>
  <c r="O199" i="1"/>
  <c r="P199" i="1"/>
  <c r="Q199" i="1"/>
  <c r="R199" i="1"/>
  <c r="O200" i="1"/>
  <c r="P200" i="1"/>
  <c r="Q200" i="1"/>
  <c r="R200" i="1"/>
  <c r="O201" i="1"/>
  <c r="P201" i="1"/>
  <c r="Q201" i="1"/>
  <c r="R201" i="1"/>
  <c r="O202" i="1"/>
  <c r="P202" i="1"/>
  <c r="Q202" i="1"/>
  <c r="R202" i="1"/>
  <c r="O203" i="1"/>
  <c r="P203" i="1"/>
  <c r="Q203" i="1"/>
  <c r="R203" i="1"/>
  <c r="O204" i="1"/>
  <c r="P204" i="1"/>
  <c r="Q204" i="1"/>
  <c r="R204" i="1"/>
  <c r="O205" i="1"/>
  <c r="P205" i="1"/>
  <c r="Q205" i="1"/>
  <c r="R205" i="1"/>
  <c r="O206" i="1"/>
  <c r="P206" i="1"/>
  <c r="Q206" i="1"/>
  <c r="R206" i="1"/>
  <c r="O207" i="1"/>
  <c r="P207" i="1"/>
  <c r="Q207" i="1"/>
  <c r="R207" i="1"/>
  <c r="O208" i="1"/>
  <c r="P208" i="1"/>
  <c r="Q208" i="1"/>
  <c r="R208" i="1"/>
  <c r="O209" i="1"/>
  <c r="P209" i="1"/>
  <c r="Q209" i="1"/>
  <c r="R209" i="1"/>
  <c r="O210" i="1"/>
  <c r="P210" i="1"/>
  <c r="Q210" i="1"/>
  <c r="R210" i="1"/>
  <c r="O211" i="1"/>
  <c r="P211" i="1"/>
  <c r="Q211" i="1"/>
  <c r="R211" i="1"/>
  <c r="O212" i="1"/>
  <c r="P212" i="1"/>
  <c r="Q212" i="1"/>
  <c r="R212" i="1"/>
  <c r="O213" i="1"/>
  <c r="P213" i="1"/>
  <c r="Q213" i="1"/>
  <c r="R213" i="1"/>
  <c r="O214" i="1"/>
  <c r="P214" i="1"/>
  <c r="Q214" i="1"/>
  <c r="R214" i="1"/>
  <c r="O215" i="1"/>
  <c r="P215" i="1"/>
  <c r="Q215" i="1"/>
  <c r="R215" i="1"/>
  <c r="O216" i="1"/>
  <c r="P216" i="1"/>
  <c r="Q216" i="1"/>
  <c r="R216" i="1"/>
  <c r="O217" i="1"/>
  <c r="P217" i="1"/>
  <c r="Q217" i="1"/>
  <c r="R217" i="1"/>
  <c r="O218" i="1"/>
  <c r="P218" i="1"/>
  <c r="Q218" i="1"/>
  <c r="R218" i="1"/>
  <c r="O219" i="1"/>
  <c r="P219" i="1"/>
  <c r="Q219" i="1"/>
  <c r="R219" i="1"/>
  <c r="O220" i="1"/>
  <c r="P220" i="1"/>
  <c r="Q220" i="1"/>
  <c r="R220" i="1"/>
  <c r="O221" i="1"/>
  <c r="P221" i="1"/>
  <c r="Q221" i="1"/>
  <c r="R221" i="1"/>
  <c r="O222" i="1"/>
  <c r="P222" i="1"/>
  <c r="Q222" i="1"/>
  <c r="R222" i="1"/>
  <c r="O223" i="1"/>
  <c r="P223" i="1"/>
  <c r="Q223" i="1"/>
  <c r="R223" i="1"/>
  <c r="O224" i="1"/>
  <c r="P224" i="1"/>
  <c r="Q224" i="1"/>
  <c r="R224" i="1"/>
  <c r="O225" i="1"/>
  <c r="P225" i="1"/>
  <c r="Q225" i="1"/>
  <c r="R225" i="1"/>
  <c r="O226" i="1"/>
  <c r="P226" i="1"/>
  <c r="Q226" i="1"/>
  <c r="R226" i="1"/>
  <c r="O227" i="1"/>
  <c r="P227" i="1"/>
  <c r="Q227" i="1"/>
  <c r="R227" i="1"/>
  <c r="O228" i="1"/>
  <c r="P228" i="1"/>
  <c r="Q228" i="1"/>
  <c r="R228" i="1"/>
  <c r="O229" i="1"/>
  <c r="P229" i="1"/>
  <c r="Q229" i="1"/>
  <c r="R229" i="1"/>
  <c r="O230" i="1"/>
  <c r="P230" i="1"/>
  <c r="Q230" i="1"/>
  <c r="R230" i="1"/>
  <c r="O231" i="1"/>
  <c r="P231" i="1"/>
  <c r="Q231" i="1"/>
  <c r="R231" i="1"/>
  <c r="O232" i="1"/>
  <c r="P232" i="1"/>
  <c r="Q232" i="1"/>
  <c r="R232" i="1"/>
  <c r="O233" i="1"/>
  <c r="P233" i="1"/>
  <c r="Q233" i="1"/>
  <c r="R233" i="1"/>
  <c r="O234" i="1"/>
  <c r="P234" i="1"/>
  <c r="Q234" i="1"/>
  <c r="R234" i="1"/>
  <c r="O235" i="1"/>
  <c r="P235" i="1"/>
  <c r="Q235" i="1"/>
  <c r="R235" i="1"/>
  <c r="O236" i="1"/>
  <c r="P236" i="1"/>
  <c r="Q236" i="1"/>
  <c r="R236" i="1"/>
  <c r="O237" i="1"/>
  <c r="P237" i="1"/>
  <c r="Q237" i="1"/>
  <c r="R237" i="1"/>
  <c r="O238" i="1"/>
  <c r="P238" i="1"/>
  <c r="Q238" i="1"/>
  <c r="R238" i="1"/>
  <c r="O239" i="1"/>
  <c r="P239" i="1"/>
  <c r="Q239" i="1"/>
  <c r="R239" i="1"/>
  <c r="O240" i="1"/>
  <c r="P240" i="1"/>
  <c r="Q240" i="1"/>
  <c r="R240" i="1"/>
  <c r="O241" i="1"/>
  <c r="P241" i="1"/>
  <c r="Q241" i="1"/>
  <c r="R241" i="1"/>
  <c r="O242" i="1"/>
  <c r="P242" i="1"/>
  <c r="Q242" i="1"/>
  <c r="R242" i="1"/>
  <c r="O243" i="1"/>
  <c r="P243" i="1"/>
  <c r="Q243" i="1"/>
  <c r="R243" i="1"/>
  <c r="O244" i="1"/>
  <c r="P244" i="1"/>
  <c r="Q244" i="1"/>
  <c r="R244" i="1"/>
  <c r="O245" i="1"/>
  <c r="P245" i="1"/>
  <c r="Q245" i="1"/>
  <c r="R245" i="1"/>
  <c r="O246" i="1"/>
  <c r="P246" i="1"/>
  <c r="Q246" i="1"/>
  <c r="R246" i="1"/>
  <c r="O247" i="1"/>
  <c r="P247" i="1"/>
  <c r="Q247" i="1"/>
  <c r="R247" i="1"/>
  <c r="O248" i="1"/>
  <c r="P248" i="1"/>
  <c r="Q248" i="1"/>
  <c r="R248" i="1"/>
  <c r="O249" i="1"/>
  <c r="P249" i="1"/>
  <c r="Q249" i="1"/>
  <c r="R249" i="1"/>
  <c r="O250" i="1"/>
  <c r="P250" i="1"/>
  <c r="Q250" i="1"/>
  <c r="R250" i="1"/>
  <c r="O251" i="1"/>
  <c r="P251" i="1"/>
  <c r="Q251" i="1"/>
  <c r="R251" i="1"/>
  <c r="C21" i="6" l="1"/>
  <c r="D30" i="6"/>
  <c r="C30" i="6"/>
  <c r="D27" i="6"/>
  <c r="E27" i="6"/>
  <c r="G29" i="6"/>
  <c r="C22" i="6"/>
  <c r="G28" i="6"/>
  <c r="E31" i="6"/>
  <c r="F28" i="6"/>
  <c r="D15" i="6"/>
  <c r="E15" i="6" s="1"/>
  <c r="F15" i="6" s="1"/>
  <c r="C29" i="6"/>
  <c r="D31" i="6"/>
  <c r="E28" i="6"/>
  <c r="D13" i="6"/>
  <c r="C31" i="6"/>
  <c r="D28" i="6"/>
  <c r="G30" i="6"/>
  <c r="C28" i="6"/>
  <c r="G27" i="12"/>
  <c r="Y10" i="12"/>
  <c r="H27" i="12"/>
  <c r="H26" i="12"/>
  <c r="X9" i="12"/>
  <c r="G26" i="12"/>
  <c r="H23" i="12"/>
  <c r="Y8" i="12"/>
  <c r="H25" i="12"/>
  <c r="X8" i="12"/>
  <c r="G25" i="12"/>
  <c r="Y11" i="12"/>
  <c r="Y7" i="12"/>
  <c r="H24" i="12"/>
  <c r="X11" i="12"/>
  <c r="K24" i="8"/>
  <c r="K25" i="8" s="1"/>
  <c r="H25" i="7"/>
  <c r="H18" i="7"/>
  <c r="H7" i="7"/>
  <c r="H8" i="7" s="1"/>
  <c r="I13" i="7"/>
  <c r="H15" i="7"/>
  <c r="H19" i="7"/>
  <c r="H9" i="7"/>
  <c r="H24" i="7"/>
  <c r="E13" i="6"/>
  <c r="G31" i="6"/>
  <c r="E29" i="6"/>
  <c r="C27" i="6"/>
  <c r="C20" i="6"/>
  <c r="D14" i="6"/>
  <c r="E14" i="6" s="1"/>
  <c r="F14" i="6" s="1"/>
  <c r="F31" i="6"/>
  <c r="Q15" i="3"/>
  <c r="P11" i="3"/>
  <c r="Q12" i="3"/>
  <c r="P16" i="3"/>
  <c r="R17" i="3"/>
  <c r="R13" i="3"/>
  <c r="R9" i="3"/>
  <c r="J47" i="3"/>
  <c r="J35" i="3"/>
  <c r="J21" i="3"/>
  <c r="P17" i="3"/>
  <c r="P13" i="3"/>
  <c r="Q9" i="3"/>
  <c r="J54" i="3"/>
  <c r="J42" i="3"/>
  <c r="R18" i="3"/>
  <c r="O17" i="3"/>
  <c r="J16" i="3"/>
  <c r="R12" i="3" s="1"/>
  <c r="R14" i="3"/>
  <c r="O13" i="3"/>
  <c r="J12" i="3"/>
  <c r="R10" i="3"/>
  <c r="O9" i="3"/>
  <c r="J5" i="3"/>
  <c r="P12" i="3"/>
  <c r="J45" i="3"/>
  <c r="J25" i="3"/>
  <c r="J19" i="3"/>
  <c r="J15" i="3"/>
  <c r="O12" i="3"/>
  <c r="J11" i="3"/>
  <c r="J40" i="3"/>
  <c r="J31" i="3"/>
  <c r="Q17" i="3"/>
  <c r="Q13" i="3"/>
  <c r="J49" i="3"/>
  <c r="J37" i="3"/>
  <c r="J26" i="3"/>
  <c r="J23" i="3"/>
  <c r="R16" i="3" s="1"/>
  <c r="Q18" i="3"/>
  <c r="Q14" i="3"/>
  <c r="Q10" i="3"/>
  <c r="J52" i="3"/>
  <c r="J44" i="3"/>
  <c r="P18" i="3"/>
  <c r="P14" i="3"/>
  <c r="P10" i="3"/>
  <c r="P15" i="3"/>
  <c r="O15" i="3"/>
  <c r="O11" i="3"/>
  <c r="O16" i="3"/>
  <c r="J39" i="3"/>
  <c r="O18" i="3"/>
  <c r="R15" i="3"/>
  <c r="O14" i="3"/>
  <c r="J13" i="3"/>
  <c r="R11" i="3"/>
  <c r="B74" i="2"/>
  <c r="A75" i="2"/>
  <c r="B73" i="2"/>
  <c r="E41" i="2"/>
  <c r="E24" i="2"/>
  <c r="E49" i="2"/>
  <c r="E52" i="2" s="1"/>
  <c r="E32" i="2"/>
  <c r="H65" i="2"/>
  <c r="H61" i="2"/>
  <c r="H57" i="2"/>
  <c r="F44" i="2"/>
  <c r="E40" i="2"/>
  <c r="E23" i="2"/>
  <c r="E25" i="2" s="1"/>
  <c r="F52" i="2"/>
  <c r="F35" i="2"/>
  <c r="E31" i="2"/>
  <c r="E35" i="2" s="1"/>
  <c r="H66" i="2"/>
  <c r="H62" i="2"/>
  <c r="K26" i="8" l="1"/>
  <c r="H6" i="7"/>
  <c r="D16" i="7"/>
  <c r="E16" i="7" s="1"/>
  <c r="D7" i="7"/>
  <c r="E7" i="7" s="1"/>
  <c r="D9" i="7"/>
  <c r="E9" i="7" s="1"/>
  <c r="I26" i="7"/>
  <c r="D12" i="7"/>
  <c r="E12" i="7" s="1"/>
  <c r="D14" i="7"/>
  <c r="E14" i="7" s="1"/>
  <c r="I14" i="7"/>
  <c r="J14" i="7" s="1"/>
  <c r="J13" i="7"/>
  <c r="I18" i="7"/>
  <c r="J18" i="7" s="1"/>
  <c r="K18" i="7" s="1"/>
  <c r="I19" i="7"/>
  <c r="J19" i="7" s="1"/>
  <c r="K19" i="7" s="1"/>
  <c r="D6" i="7"/>
  <c r="E6" i="7" s="1"/>
  <c r="D13" i="7"/>
  <c r="E13" i="7" s="1"/>
  <c r="I25" i="7"/>
  <c r="D15" i="7"/>
  <c r="E15" i="7" s="1"/>
  <c r="D10" i="7"/>
  <c r="E10" i="7" s="1"/>
  <c r="D11" i="7"/>
  <c r="E11" i="7" s="1"/>
  <c r="D8" i="7"/>
  <c r="E8" i="7" s="1"/>
  <c r="I24" i="7"/>
  <c r="D22" i="6"/>
  <c r="E22" i="6" s="1"/>
  <c r="F22" i="6" s="1"/>
  <c r="D21" i="6"/>
  <c r="E21" i="6" s="1"/>
  <c r="F21" i="6" s="1"/>
  <c r="D20" i="6"/>
  <c r="E20" i="6" s="1"/>
  <c r="F20" i="6" s="1"/>
  <c r="E16" i="6"/>
  <c r="F16" i="6" s="1"/>
  <c r="F13" i="6"/>
  <c r="D16" i="6"/>
  <c r="P25" i="3"/>
  <c r="O24" i="3"/>
  <c r="O23" i="3"/>
  <c r="O25" i="3"/>
  <c r="P24" i="3"/>
  <c r="Q24" i="3" s="1"/>
  <c r="P23" i="3"/>
  <c r="H67" i="2"/>
  <c r="B75" i="2"/>
  <c r="A76" i="2"/>
  <c r="E44" i="2"/>
  <c r="K27" i="8" l="1"/>
  <c r="K13" i="7"/>
  <c r="L13" i="7" s="1"/>
  <c r="Q23" i="3"/>
  <c r="Q25" i="3"/>
  <c r="B76" i="2"/>
  <c r="A77" i="2"/>
  <c r="K28" i="8" l="1"/>
  <c r="K30" i="8"/>
  <c r="K32" i="8" s="1"/>
  <c r="B77" i="2"/>
  <c r="A78" i="2"/>
  <c r="K33" i="8" l="1"/>
  <c r="B78" i="2"/>
  <c r="A79" i="2"/>
  <c r="K34" i="8" l="1"/>
  <c r="A80" i="2"/>
  <c r="B79" i="2"/>
  <c r="K36" i="8" l="1"/>
  <c r="B80" i="2"/>
  <c r="A81" i="2"/>
  <c r="K37" i="8" l="1"/>
  <c r="K38" i="8" s="1"/>
  <c r="K39" i="8" s="1"/>
  <c r="K40" i="8" s="1"/>
  <c r="K41" i="8" s="1"/>
  <c r="K42" i="8" s="1"/>
  <c r="K43" i="8" s="1"/>
  <c r="K45" i="8" s="1"/>
  <c r="K46" i="8" s="1"/>
  <c r="K47" i="8" s="1"/>
  <c r="K48" i="8" s="1"/>
  <c r="K49" i="8" s="1"/>
  <c r="K50" i="8" s="1"/>
  <c r="K52" i="8" s="1"/>
  <c r="K53" i="8" s="1"/>
  <c r="K55" i="8" s="1"/>
  <c r="K57" i="8" s="1"/>
  <c r="K58" i="8" s="1"/>
  <c r="K59" i="8" s="1"/>
  <c r="K61" i="8" s="1"/>
  <c r="K63" i="8" s="1"/>
  <c r="B81" i="2"/>
  <c r="A82" i="2"/>
  <c r="A83" i="2" l="1"/>
  <c r="B82" i="2"/>
  <c r="B83" i="2" l="1"/>
  <c r="A84" i="2"/>
  <c r="B84" i="2" s="1"/>
  <c r="C44" i="5"/>
  <c r="C45" i="5"/>
  <c r="C43" i="5"/>
</calcChain>
</file>

<file path=xl/sharedStrings.xml><?xml version="1.0" encoding="utf-8"?>
<sst xmlns="http://schemas.openxmlformats.org/spreadsheetml/2006/main" count="4220" uniqueCount="728">
  <si>
    <t>DATA INTELLIGENCE DASHBOARD</t>
  </si>
  <si>
    <t>REGION  ▼</t>
  </si>
  <si>
    <t>All</t>
  </si>
  <si>
    <t>CATEGORY  ▼</t>
  </si>
  <si>
    <t>FROM  ▼</t>
  </si>
  <si>
    <t>TO  ▼</t>
  </si>
  <si>
    <t>TOTAL REVENUE</t>
  </si>
  <si>
    <t>ORDERS</t>
  </si>
  <si>
    <t>UNITS SOLD</t>
  </si>
  <si>
    <t>AVG ORDER VALUE</t>
  </si>
  <si>
    <t>ACTIVE CUSTOMERS</t>
  </si>
  <si>
    <t>100.0% of overall revenue</t>
  </si>
  <si>
    <t>100.0% of all orders</t>
  </si>
  <si>
    <t>▲ 0.0% vs overall AOV</t>
  </si>
  <si>
    <t>of 50 customers</t>
  </si>
  <si>
    <t>KPI SCORECARD (targets are editable)</t>
  </si>
  <si>
    <t>TOP 5 CUSTOMERS (selection)</t>
  </si>
  <si>
    <t>KPI</t>
  </si>
  <si>
    <t>Actual</t>
  </si>
  <si>
    <t>Target</t>
  </si>
  <si>
    <t>Achieved</t>
  </si>
  <si>
    <t>#</t>
  </si>
  <si>
    <t>Customer</t>
  </si>
  <si>
    <t>Revenue</t>
  </si>
  <si>
    <t>Mark Carter</t>
  </si>
  <si>
    <t>Orders</t>
  </si>
  <si>
    <t>Edward Mitchell</t>
  </si>
  <si>
    <t>Avg Order Value</t>
  </si>
  <si>
    <t>Barbara Young</t>
  </si>
  <si>
    <t>Units / Order</t>
  </si>
  <si>
    <t>Patricia Moore</t>
  </si>
  <si>
    <t>Targets are set for the full dataset: set filters to 'All' for a fair comparison.</t>
  </si>
  <si>
    <t>Paul Baker</t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</si>
  <si>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</si>
  <si>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</si>
  <si>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</si>
  <si>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</si>
  <si>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</si>
  <si>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</si>
  <si>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</si>
  <si>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</si>
  <si>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</si>
  <si>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</si>
  <si>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</si>
  <si>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</si>
  <si>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</si>
  <si>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</si>
  <si>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Month_End</t>
  </si>
  <si>
    <t>Quarter</t>
  </si>
  <si>
    <t>Days_Since_Purchase</t>
  </si>
  <si>
    <t>Cust_Order_No</t>
  </si>
  <si>
    <t>Filter_Seq</t>
  </si>
  <si>
    <t>TRX0155</t>
  </si>
  <si>
    <t>CUST023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</si>
  <si>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</si>
  <si>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</si>
  <si>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</si>
  <si>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</si>
  <si>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</si>
  <si>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</si>
  <si>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</si>
  <si>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</si>
  <si>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</si>
  <si>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</si>
  <si>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</si>
  <si>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</si>
  <si>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</si>
  <si>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</si>
  <si>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</si>
  <si>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</si>
  <si>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</si>
  <si>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</si>
  <si>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</si>
  <si>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</si>
  <si>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</si>
  <si>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</si>
  <si>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</si>
  <si>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</si>
  <si>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</si>
  <si>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</si>
  <si>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</si>
  <si>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</si>
  <si>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</si>
  <si>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</si>
  <si>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</si>
  <si>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</si>
  <si>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</si>
  <si>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</si>
  <si>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</si>
  <si>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</si>
  <si>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</si>
  <si>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</si>
  <si>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</si>
  <si>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</si>
  <si>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</si>
  <si>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</si>
  <si>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</si>
  <si>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</si>
  <si>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</si>
  <si>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</si>
  <si>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</si>
  <si>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</si>
  <si>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</si>
  <si>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</si>
  <si>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</si>
  <si>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</si>
  <si>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</si>
  <si>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</si>
  <si>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</si>
  <si>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</si>
  <si>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</si>
  <si>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</si>
  <si>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</si>
  <si>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</si>
  <si>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</si>
  <si>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</si>
  <si>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</si>
  <si>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</si>
  <si>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</si>
  <si>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</si>
  <si>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</si>
  <si>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</si>
  <si>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</si>
  <si>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</si>
  <si>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</si>
  <si>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</si>
  <si>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</si>
  <si>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</si>
  <si>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</si>
  <si>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</si>
  <si>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</si>
  <si>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</si>
  <si>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</si>
  <si>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TRX0239</t>
  </si>
  <si>
    <t>CUST012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</si>
  <si>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</si>
  <si>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</si>
  <si>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</si>
  <si>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</si>
  <si>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</si>
  <si>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</si>
  <si>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</si>
  <si>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</si>
  <si>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</si>
  <si>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</si>
  <si>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</si>
  <si>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</si>
  <si>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</si>
  <si>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</si>
  <si>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</si>
  <si>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</si>
  <si>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</si>
  <si>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</si>
  <si>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</si>
  <si>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</si>
  <si>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</si>
  <si>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</si>
  <si>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</si>
  <si>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</si>
  <si>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</si>
  <si>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</si>
  <si>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</si>
  <si>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</si>
  <si>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</si>
  <si>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</si>
  <si>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</si>
  <si>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</si>
  <si>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</si>
  <si>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</si>
  <si>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</si>
  <si>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</si>
  <si>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</si>
  <si>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</si>
  <si>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</si>
  <si>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</si>
  <si>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</si>
  <si>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</si>
  <si>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</si>
  <si>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</si>
  <si>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</si>
  <si>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</si>
  <si>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</si>
  <si>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</si>
  <si>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</si>
  <si>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</si>
  <si>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</si>
  <si>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</si>
  <si>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</si>
  <si>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</si>
  <si>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</si>
  <si>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</si>
  <si>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</si>
  <si>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</si>
  <si>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</si>
  <si>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</si>
  <si>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</si>
  <si>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</si>
  <si>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</si>
  <si>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</si>
  <si>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</si>
  <si>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</si>
  <si>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</si>
  <si>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</si>
  <si>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</si>
  <si>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</si>
  <si>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</si>
  <si>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</si>
  <si>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</si>
  <si>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</si>
  <si>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</si>
  <si>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</si>
  <si>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</si>
  <si>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</si>
  <si>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</si>
  <si>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</si>
  <si>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</si>
  <si>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</si>
  <si>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</si>
  <si>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</si>
  <si>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</si>
  <si>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</si>
  <si>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</si>
  <si>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</si>
  <si>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</si>
  <si>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</si>
  <si>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</si>
  <si>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</si>
  <si>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</si>
  <si>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</si>
  <si>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</si>
  <si>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</si>
  <si>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</si>
  <si>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</si>
  <si>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</si>
  <si>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</si>
  <si>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</si>
  <si>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</si>
  <si>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</si>
  <si>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</si>
  <si>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</si>
  <si>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</si>
  <si>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</si>
  <si>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</si>
  <si>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</si>
  <si>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</si>
  <si>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</si>
  <si>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</si>
  <si>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</si>
  <si>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</si>
  <si>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</si>
  <si>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</si>
  <si>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</si>
  <si>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</si>
  <si>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</si>
  <si>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</si>
  <si>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</si>
  <si>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</si>
  <si>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</si>
  <si>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</si>
  <si>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</si>
  <si>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</si>
  <si>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</si>
  <si>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</si>
  <si>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</si>
  <si>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</si>
  <si>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</si>
  <si>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</si>
  <si>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</si>
  <si>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</si>
  <si>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</si>
  <si>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</si>
  <si>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</si>
  <si>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</si>
  <si>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</si>
  <si>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</si>
  <si>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</si>
  <si>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</si>
  <si>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</si>
  <si>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</si>
  <si>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</si>
  <si>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</si>
  <si>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</si>
  <si>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</si>
  <si>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</si>
  <si>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</si>
  <si>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</si>
  <si>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</si>
  <si>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</si>
  <si>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</si>
  <si>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</si>
  <si>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</si>
  <si>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</si>
  <si>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</si>
  <si>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</si>
  <si>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</si>
  <si>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</si>
  <si>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</si>
  <si>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</si>
  <si>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</si>
  <si>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</si>
  <si>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</si>
  <si>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</si>
  <si>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</si>
  <si>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</si>
  <si>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</si>
  <si>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</si>
  <si>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</si>
  <si>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</si>
  <si>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</si>
  <si>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</si>
  <si>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</si>
  <si>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</si>
  <si>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</si>
  <si>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</si>
  <si>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</si>
  <si>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</si>
  <si>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</si>
  <si>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</si>
  <si>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</si>
  <si>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</si>
  <si>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</si>
  <si>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</si>
  <si>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</si>
  <si>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</si>
  <si>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</si>
  <si>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</si>
  <si>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</si>
  <si>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</si>
  <si>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</si>
  <si>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</si>
  <si>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</si>
  <si>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</si>
  <si>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</si>
  <si>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</si>
  <si>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</si>
  <si>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</si>
  <si>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</si>
  <si>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</si>
  <si>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</si>
  <si>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</si>
  <si>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</si>
  <si>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</si>
  <si>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</si>
  <si>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</si>
  <si>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</si>
  <si>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</si>
  <si>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</si>
  <si>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</si>
  <si>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</si>
  <si>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</si>
  <si>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</si>
  <si>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</si>
  <si>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</si>
  <si>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</si>
  <si>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</si>
  <si>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</si>
  <si>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</si>
  <si>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</si>
  <si>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</si>
  <si>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</si>
  <si>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</si>
  <si>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</si>
  <si>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</si>
  <si>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</si>
  <si>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</si>
  <si>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</si>
  <si>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</si>
  <si>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</si>
  <si>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</si>
  <si>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</si>
  <si>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</si>
  <si>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</si>
  <si>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</si>
  <si>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</si>
  <si>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</si>
  <si>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</si>
  <si>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</si>
  <si>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</si>
  <si>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</si>
  <si>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</si>
  <si>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</si>
  <si>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</si>
  <si>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</si>
  <si>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</si>
  <si>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</si>
  <si>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</si>
  <si>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</si>
  <si>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</si>
  <si>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</si>
  <si>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</si>
  <si>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</si>
  <si>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</si>
  <si>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</si>
  <si>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</si>
  <si>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</si>
  <si>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</si>
  <si>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</si>
  <si>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</si>
  <si>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</si>
  <si>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</si>
  <si>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</si>
  <si>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</si>
  <si>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</si>
  <si>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</si>
  <si>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</si>
  <si>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</si>
  <si>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</si>
  <si>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</si>
  <si>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</si>
  <si>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</si>
  <si>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</si>
  <si>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</si>
  <si>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</si>
  <si>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</si>
  <si>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</si>
  <si>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</si>
  <si>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</si>
  <si>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</si>
  <si>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</si>
  <si>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</si>
  <si>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</si>
  <si>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</si>
  <si>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</si>
  <si>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</si>
  <si>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</si>
  <si>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</si>
  <si>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</si>
  <si>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</si>
  <si>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</si>
  <si>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</si>
  <si>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</si>
  <si>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</si>
  <si>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ANALYSIS  |  Summary metrics &amp; group-by tables (all formulas)</t>
  </si>
  <si>
    <t>Every number here is a live formula on the 'Raw Data' sheet (SUMIFS / COUNTIFS / INDEX-MATCH).</t>
  </si>
  <si>
    <t>KEY METRICS</t>
  </si>
  <si>
    <t>Total Revenue</t>
  </si>
  <si>
    <t/>
  </si>
  <si>
    <t>Total Transactions</t>
  </si>
  <si>
    <t>Total Units Sold</t>
  </si>
  <si>
    <t>Average Order Value</t>
  </si>
  <si>
    <t>Unique Customers</t>
  </si>
  <si>
    <t>First Transaction</t>
  </si>
  <si>
    <t>Last Transaction</t>
  </si>
  <si>
    <t>Best Product (Revenue)</t>
  </si>
  <si>
    <t>Most Sold Product (Units)</t>
  </si>
  <si>
    <t>Most Frequently Ordered Product</t>
  </si>
  <si>
    <t>Top Region</t>
  </si>
  <si>
    <t>Top Category</t>
  </si>
  <si>
    <t>Top Payment Method</t>
  </si>
  <si>
    <t>Top Customer</t>
  </si>
  <si>
    <t>REVENUE BY CATEGORY</t>
  </si>
  <si>
    <t>Units Sold</t>
  </si>
  <si>
    <t>Revenue Share</t>
  </si>
  <si>
    <t>Total</t>
  </si>
  <si>
    <t>REVENUE BY REGION</t>
  </si>
  <si>
    <t>REVENUE BY PAYMENT METHOD</t>
  </si>
  <si>
    <t>Payment Method</t>
  </si>
  <si>
    <t>REVENUE BY CUSTOMER SEGMENT</t>
  </si>
  <si>
    <t>Segment</t>
  </si>
  <si>
    <t>PRODUCT PERFORMANCE</t>
  </si>
  <si>
    <t>Product ID</t>
  </si>
  <si>
    <t>Product</t>
  </si>
  <si>
    <t>Unit Price</t>
  </si>
  <si>
    <t>Revenue Rank</t>
  </si>
  <si>
    <t>Units Rank</t>
  </si>
  <si>
    <t>MONTHLY TREND (EOMONTH / EDATE based)</t>
  </si>
  <si>
    <t>Month Start</t>
  </si>
  <si>
    <t>Month</t>
  </si>
  <si>
    <t>Units</t>
  </si>
  <si>
    <t>MoM Change</t>
  </si>
  <si>
    <t>Cumulative Revenue</t>
  </si>
  <si>
    <t>Month Type</t>
  </si>
  <si>
    <t>Partial month</t>
  </si>
  <si>
    <t>Full month</t>
  </si>
  <si>
    <t>CATEGORY x REGION (pivot-style cross-tab)</t>
  </si>
  <si>
    <t>CUSTOMERS  |  GroupBy with formulas: High-Value customers</t>
  </si>
  <si>
    <t>GroupBy logic = SUMIF / COUNTIF / MINIFS / MAXIFS per Customer_ID. Tier thresholds are percentiles (editable).</t>
  </si>
  <si>
    <t>TIER THRESHOLDS (editable)</t>
  </si>
  <si>
    <t>Customer Name</t>
  </si>
  <si>
    <t>Avg Order</t>
  </si>
  <si>
    <t>First Purchase</t>
  </si>
  <si>
    <t>Last Purchase</t>
  </si>
  <si>
    <t>Value Tier</t>
  </si>
  <si>
    <t>Buyer Type</t>
  </si>
  <si>
    <t>High-Value if Revenue ≥ (P75)</t>
  </si>
  <si>
    <t>Mid-Value if Revenue ≥ (P40)</t>
  </si>
  <si>
    <t>TOP 10 CUSTOMERS</t>
  </si>
  <si>
    <t>Rank</t>
  </si>
  <si>
    <t>Tier</t>
  </si>
  <si>
    <t>GROUPBY: CUSTOMER VALUE TIERS</t>
  </si>
  <si>
    <t>Customers</t>
  </si>
  <si>
    <t>High-Value</t>
  </si>
  <si>
    <t>Mid-Value</t>
  </si>
  <si>
    <t>Low-Value</t>
  </si>
  <si>
    <t>REPEATING NAMES / FREQUENT BUYERS</t>
  </si>
  <si>
    <t>Repeat customers (2+ orders)</t>
  </si>
  <si>
    <t>One-time customers</t>
  </si>
  <si>
    <t>Most frequent buyer (name repeats most)</t>
  </si>
  <si>
    <t>Orders by that buyer</t>
  </si>
  <si>
    <t>Avg orders per customer</t>
  </si>
  <si>
    <t>FILTER  |  Multi-value returns (FILTER-function logic)</t>
  </si>
  <si>
    <t>Pick Region &amp; Category (yellow cells). The table below returns ALL matching rows - works in every Excel version.</t>
  </si>
  <si>
    <t>Matching rows</t>
  </si>
  <si>
    <t>Matching revenue</t>
  </si>
  <si>
    <t>Transaction</t>
  </si>
  <si>
    <t>Qty</t>
  </si>
  <si>
    <t>Total Amount</t>
  </si>
  <si>
    <t>Payment</t>
  </si>
  <si>
    <t>DATE &amp; TIME  |  TODAY, NOW, DATEDIF, EOMONTH, Timestamp</t>
  </si>
  <si>
    <t>Live functions recalculate every time the workbook opens.</t>
  </si>
  <si>
    <t>1) LIVE DATE &amp; TIME</t>
  </si>
  <si>
    <t>Today  =TODAY()</t>
  </si>
  <si>
    <t>Now  =NOW()</t>
  </si>
  <si>
    <t>Day name  =TEXT(TODAY(),"dddd")</t>
  </si>
  <si>
    <t>2) DATASET SPAN  (DATEDIF)</t>
  </si>
  <si>
    <t>First transaction</t>
  </si>
  <si>
    <t>Last transaction</t>
  </si>
  <si>
    <t>Span in days  =DATEDIF(first,last,"d")</t>
  </si>
  <si>
    <t>Span in months  =DATEDIF(first,last,"m")</t>
  </si>
  <si>
    <t>Span as text (Y / M / D)</t>
  </si>
  <si>
    <t>Days since last transaction  =TODAY()-last</t>
  </si>
  <si>
    <t>Months since last transaction</t>
  </si>
  <si>
    <t>3) EOMONTH EXAMPLES</t>
  </si>
  <si>
    <t>Month-end of last transaction  =EOMONTH(last,0)</t>
  </si>
  <si>
    <t>Previous month-end  =EOMONTH(last,-1)</t>
  </si>
  <si>
    <t>Next month-end  =EOMONTH(last,1)</t>
  </si>
  <si>
    <t>Quarter-end  =EOMONTH(last,MOD(3-MONTH(last),3))</t>
  </si>
  <si>
    <t>Days left in current month  =EOMONTH(TODAY(),0)-TODAY()</t>
  </si>
  <si>
    <t>4) CUSTOMER TENURE  (DATEDIF from Customer_Since)</t>
  </si>
  <si>
    <t>Customer Since (earliest)</t>
  </si>
  <si>
    <t>Tenure (years)</t>
  </si>
  <si>
    <t>Tenure (Y + M)</t>
  </si>
  <si>
    <t>5) AUTO TIMESTAMP  (NOW + iterative calculation)</t>
  </si>
  <si>
    <t>Type anything in column B -&gt; column C freezes the time of first entry. Needs File &gt; Options &gt; Formulas &gt; 'Enable iterative calculation' (already saved ON in this file).</t>
  </si>
  <si>
    <t>Entry / Order ID  (type here)</t>
  </si>
  <si>
    <t>Timestamp (auto)</t>
  </si>
  <si>
    <t>Formula used</t>
  </si>
  <si>
    <t>TRX-DEMO-1</t>
  </si>
  <si>
    <t>IF(B43="","",IF(N(C43)&gt;0,C43,NOW()))  &lt;- circular on purpose</t>
  </si>
  <si>
    <t>TRX-DEMO-2</t>
  </si>
  <si>
    <t>TRX-DEMO-3</t>
  </si>
  <si>
    <t>WHAT-IF ANALYSIS  |  Scenario Manager style + Goal Seek</t>
  </si>
  <si>
    <t>Blue cells on yellow = inputs. Change them and everything recalculates.</t>
  </si>
  <si>
    <t>A) SCENARIO MANAGER (scenario table + selector)</t>
  </si>
  <si>
    <t>Assumption</t>
  </si>
  <si>
    <t>Base</t>
  </si>
  <si>
    <t>Optimistic</t>
  </si>
  <si>
    <t>Pessimistic</t>
  </si>
  <si>
    <t>SELECTED</t>
  </si>
  <si>
    <t>Price change %</t>
  </si>
  <si>
    <t>Volume change %</t>
  </si>
  <si>
    <t>Extra discount %</t>
  </si>
  <si>
    <t>Choose scenario  ▶</t>
  </si>
  <si>
    <t>Baseline Revenue</t>
  </si>
  <si>
    <t>Projected (Selected)</t>
  </si>
  <si>
    <t>Change $</t>
  </si>
  <si>
    <t>Change %</t>
  </si>
  <si>
    <t>SCENARIO SUMMARY (all scenarios side by side)</t>
  </si>
  <si>
    <t>Scenario</t>
  </si>
  <si>
    <t>vs Base $</t>
  </si>
  <si>
    <t>vs Base %</t>
  </si>
  <si>
    <t>Verdict</t>
  </si>
  <si>
    <t>B) SENSITIVITY GRID  (Price change vs Volume change -&gt; Total Revenue)</t>
  </si>
  <si>
    <t>Volume ↓  /  Price →</t>
  </si>
  <si>
    <t>C) GOAL SEEK  (what must change to hit a revenue target?)</t>
  </si>
  <si>
    <t>Current revenue</t>
  </si>
  <si>
    <t>Volume growth (CHANGING CELL)</t>
  </si>
  <si>
    <t>Projected revenue  (SET CELL)</t>
  </si>
  <si>
    <t>Target revenue  (TO VALUE)</t>
  </si>
  <si>
    <t>Gap  (Projected - Target)</t>
  </si>
  <si>
    <t>Answer Goal Seek should find</t>
  </si>
  <si>
    <t>LINEAR REGRESSION  |  Monthly revenue trend (Data Analysis ToolPak style output)</t>
  </si>
  <si>
    <t>Y = Monthly Revenue, X = Month number. Only FULL months (May-24 to Mar-25) are used; Apr-24 and Apr-25 are partial.</t>
  </si>
  <si>
    <t>X (Month #)</t>
  </si>
  <si>
    <t>Y (Revenue)</t>
  </si>
  <si>
    <t>Predicted</t>
  </si>
  <si>
    <t>Residual</t>
  </si>
  <si>
    <t>REGRESSION STATISTICS</t>
  </si>
  <si>
    <t>May-24</t>
  </si>
  <si>
    <t>Multiple R</t>
  </si>
  <si>
    <t>Jun-24</t>
  </si>
  <si>
    <t>R Square</t>
  </si>
  <si>
    <t>Jul-24</t>
  </si>
  <si>
    <t>Adjusted R Square</t>
  </si>
  <si>
    <t>Aug-24</t>
  </si>
  <si>
    <t>Standard Error</t>
  </si>
  <si>
    <t>Sep-24</t>
  </si>
  <si>
    <t>Observations</t>
  </si>
  <si>
    <t>Oct-24</t>
  </si>
  <si>
    <t>ANOVA</t>
  </si>
  <si>
    <t>Nov-24</t>
  </si>
  <si>
    <t>df</t>
  </si>
  <si>
    <t>SS</t>
  </si>
  <si>
    <t>MS</t>
  </si>
  <si>
    <t>F</t>
  </si>
  <si>
    <t>Significance F</t>
  </si>
  <si>
    <t>Dec-24</t>
  </si>
  <si>
    <t>Regression</t>
  </si>
  <si>
    <t>Jan-25</t>
  </si>
  <si>
    <t>Feb-25</t>
  </si>
  <si>
    <t>Mar-25</t>
  </si>
  <si>
    <t>Coefficients</t>
  </si>
  <si>
    <t>t Stat</t>
  </si>
  <si>
    <t>P-value</t>
  </si>
  <si>
    <t>Intercept</t>
  </si>
  <si>
    <t>X Variable (Month #)</t>
  </si>
  <si>
    <t>FORECAST (next 3 months)</t>
  </si>
  <si>
    <t>X</t>
  </si>
  <si>
    <t>Forecast Revenue</t>
  </si>
  <si>
    <t>Apr-25</t>
  </si>
  <si>
    <t>May-25</t>
  </si>
  <si>
    <t>Jun-25</t>
  </si>
  <si>
    <t>TEXT FUNCTIONS &amp; LIST COMPARISON</t>
  </si>
  <si>
    <t>Abbreviations with LEFT / MID / FIND / UPPER / TEXT  |  Compare two lists and extract matching names.</t>
  </si>
  <si>
    <t>1) CUSTOMER ABBREVIATIONS</t>
  </si>
  <si>
    <t>2) PRODUCT &amp; CATEGORY ABBREVIATIONS + TEXT()</t>
  </si>
  <si>
    <t>Full Name</t>
  </si>
  <si>
    <t>Initials</t>
  </si>
  <si>
    <t>Short Code</t>
  </si>
  <si>
    <t>LAST, First</t>
  </si>
  <si>
    <t>Name Length</t>
  </si>
  <si>
    <t>Abbrev (3)</t>
  </si>
  <si>
    <t>Product Code</t>
  </si>
  <si>
    <t>Category Code</t>
  </si>
  <si>
    <t>Price Label</t>
  </si>
  <si>
    <t>Report Label</t>
  </si>
  <si>
    <t>ELE</t>
  </si>
  <si>
    <t>$899.99</t>
  </si>
  <si>
    <t>ELE-LAP | $67,499 (29.5%)</t>
  </si>
  <si>
    <t>$699.99</t>
  </si>
  <si>
    <t>ELE-SMA | $67,199 (29.3%)</t>
  </si>
  <si>
    <t>FUR</t>
  </si>
  <si>
    <t>$299.99</t>
  </si>
  <si>
    <t>FUR-DES | $23,399 (10.2%)</t>
  </si>
  <si>
    <t>$249.99</t>
  </si>
  <si>
    <t>ELE-MON | $21,999 (9.6%)</t>
  </si>
  <si>
    <t>$149.99</t>
  </si>
  <si>
    <t>FUR-BOO | $15,299 (6.7%)</t>
  </si>
  <si>
    <t>$199.99</t>
  </si>
  <si>
    <t>FUR-OFF | $10,399 (4.5%)</t>
  </si>
  <si>
    <t>$89.99</t>
  </si>
  <si>
    <t>ELE-KEY | $8,009 (3.5%)</t>
  </si>
  <si>
    <t>ELE-HEA | $7,050 (3.1%)</t>
  </si>
  <si>
    <t>APP</t>
  </si>
  <si>
    <t>$59.99</t>
  </si>
  <si>
    <t>APP-BLE | $5,219 (2.3%)</t>
  </si>
  <si>
    <t>$79.99</t>
  </si>
  <si>
    <t>APP-COF | $3,120 (1.4%)</t>
  </si>
  <si>
    <t>3) COMPARE TWO LISTS -&gt; extract matching names</t>
  </si>
  <si>
    <t>List A: Electronics buyers</t>
  </si>
  <si>
    <t>List B: Furniture buyers</t>
  </si>
  <si>
    <t>Match? (in both)</t>
  </si>
  <si>
    <t>Seq</t>
  </si>
  <si>
    <t>Matching names (new column)</t>
  </si>
  <si>
    <t>Customers in both lists</t>
  </si>
  <si>
    <t>Only in List A</t>
  </si>
  <si>
    <t>Only in List B</t>
  </si>
  <si>
    <t>VISUALIZATIONS  |  Charts on the full dataset</t>
  </si>
  <si>
    <t>Bar, Column, Line, Pie, Doughnut and Stacked charts - all linked to the 'Analysis' sheet.</t>
  </si>
  <si>
    <t>FINAL REPORT  |  Insights &amp; Storytelling</t>
  </si>
  <si>
    <t>Numbers in the sentences are live formulas - they update if the data changes.</t>
  </si>
  <si>
    <t>HEADLINE METRICS</t>
  </si>
  <si>
    <t>Transactions</t>
  </si>
  <si>
    <t>Most Sold Product</t>
  </si>
  <si>
    <t>THE STORY IN 10 LINES</t>
  </si>
  <si>
    <t>1. SCALE: $229,192 revenue from 250 orders by 50 customers between 11-Apr-2024 and 11-Apr-2025 - an average order of $917.</t>
  </si>
  <si>
    <t>2. CATEGORY MIX: Electronics brings 74.9% of revenue, Furniture 21.4% and Appliances only 3.6% - the business is heavily dependent on one category.</t>
  </si>
  <si>
    <t>3. HERO PRODUCTS: Laptop is the #1 revenue product, and the top two products together deliver 58.8% of all revenue.</t>
  </si>
  <si>
    <t>4. VOLUME vs VALUE: Bookshelf sells the most units (102), yet Laptop earns the most money - unit volume and revenue are driven by different products.</t>
  </si>
  <si>
    <t>5. REGIONS: East leads with $59,288; the weakest region (South) is 39% behind the leader.</t>
  </si>
  <si>
    <t>6. CUSTOMERS: 13 High-Value customers generate 49% of revenue. Top customer: Mark Carter ($15,660).</t>
  </si>
  <si>
    <t>7. LOYALTY: 47 of 50 customers ordered more than once; the most frequent buyer is Mark Carter with 12 orders.</t>
  </si>
  <si>
    <t>8. PAYMENTS: Credit Card is the favourite method (26.8%), but all four methods sit within 4.1 percentage points - customers are payment-agnostic.</t>
  </si>
  <si>
    <t>9. SEGMENTS: Premium contributes 36.9%, Standard 35.9% and Basic 27.1% of revenue.</t>
  </si>
  <si>
    <t>10. TREND: revenue moves by $338 per month on average (trend is upward). The line explains 7.6% of month-to-month variation; slope P-value = 0.410 -&gt; NOT statistically significant, so treat the trend as weak.</t>
  </si>
  <si>
    <t>RECOMMENDATIONS</t>
  </si>
  <si>
    <t>• Protect and grow Electronics (Laptops, Smartphones): stock availability and bundles here have the biggest revenue effect.</t>
  </si>
  <si>
    <t>• Appliances are low-ticket: bundle Blender / Coffee Maker with Furniture or Electronics orders to lift basket size.</t>
  </si>
  <si>
    <t>• Run a regional campaign in the lowest-revenue regions (see line 5) - copy what works in the leading region.</t>
  </si>
  <si>
    <t>• Launch a loyalty / VIP programme for High-Value customers and a win-back offer for one-time buyers.</t>
  </si>
  <si>
    <t>• Keep every payment method live - the mix is balanced, so removing any one risks losing sales.</t>
  </si>
  <si>
    <t>DATA QUALITY NOTES</t>
  </si>
  <si>
    <t>• Region, Customer_Segment and Customer_Since change between rows of the SAME Customer_ID, so segment/region analysis is per transaction, not per customer.</t>
  </si>
  <si>
    <t>• April 2024 (starts 11-Apr) and April 2025 (ends 11-Apr) are partial months - the regression uses only full months.</t>
  </si>
  <si>
    <t>• Total_Amount equals Quantity x Unit_Price on every row (check below).  Currency is not specified in the dataset; $ is used as a display format.</t>
  </si>
  <si>
    <t>Check: SUM(Qty x Price) - SUM(Total_Amount)</t>
  </si>
  <si>
    <t>PIVOT GUIDE  |  Build the native Excel features in 2 minutes</t>
  </si>
  <si>
    <t>These items are interactive Excel objects that must be created inside Excel. The workbook already contains formula-based equivalents.</t>
  </si>
  <si>
    <t>Feature</t>
  </si>
  <si>
    <t>Steps in Excel</t>
  </si>
  <si>
    <t>Equivalent already in this workbook</t>
  </si>
  <si>
    <t>PivotTable</t>
  </si>
  <si>
    <t>Click any cell in 'Raw Data' (it is an Excel Table: tblSales) &gt; Insert &gt; PivotTable &gt; New Worksheet. Rows = Category / Product_Name, Values = Sum of Total_Amount.</t>
  </si>
  <si>
    <t>Analysis sheet (SUMIFS group-by tables)</t>
  </si>
  <si>
    <t>Pivot Chart - Bar / Line / Pie</t>
  </si>
  <si>
    <t>Click inside the PivotTable &gt; PivotTable Analyze &gt; PivotChart. Bar: Product_Name vs Sum of Total_Amount. Line: Date (group by Months). Pie: Region.</t>
  </si>
  <si>
    <t>Visualizations sheet (9 native charts)</t>
  </si>
  <si>
    <t>Slicers</t>
  </si>
  <si>
    <t>Click inside the PivotTable &gt; PivotTable Analyze &gt; Insert Slicer &gt; tick Region, Category, Customer_Segment. Use Report Connections to link all pivots.</t>
  </si>
  <si>
    <t>Dashboard: Region &amp; Category dropdowns</t>
  </si>
  <si>
    <t>Timeline</t>
  </si>
  <si>
    <t>Click inside the PivotTable &gt; PivotTable Analyze &gt; Insert Timeline &gt; Date. Drag the bar to filter months/quarters.</t>
  </si>
  <si>
    <t>Dashboard: From / To date cells</t>
  </si>
  <si>
    <t>Scenario Manager</t>
  </si>
  <si>
    <t>Data &gt; What-If Analysis &gt; Scenario Manager &gt; Add. Changing cells = C6:C8, repeat for Optimistic (D6:D8) / Pessimistic (E6:E8), then Summary.</t>
  </si>
  <si>
    <t>WhatIf sheet: scenario selector + summary table</t>
  </si>
  <si>
    <t>Goal Seek</t>
  </si>
  <si>
    <t>Data &gt; What-If Analysis &gt; Goal Seek. Set cell WhatIf!C37, To value 275000, By changing WhatIf!C36.</t>
  </si>
  <si>
    <t>WhatIf!C40 shows the exact answer</t>
  </si>
  <si>
    <t>Data Analysis ToolPak Regression</t>
  </si>
  <si>
    <t>File &gt; Options &gt; Add-ins &gt; Analysis ToolPak &gt; Go. Then Data &gt; Data Analysis &gt; Regression, Y = Regression!C5:C16, X = Regression!B5:B16.</t>
  </si>
  <si>
    <t>Regression sheet: full SUMMARY OUTPUT by formulas</t>
  </si>
  <si>
    <t>FILTER function (Excel 365)</t>
  </si>
  <si>
    <t>Type this formula directly in a cell:  =FILTER(tblSales,(tblSales[Region]="East")*(tblSales[Category]="Electronics"),"No match")</t>
  </si>
  <si>
    <t>Filter sheet (works in every Excel version)</t>
  </si>
  <si>
    <t>DASH_CALC  |  Helper tables that feed the Dashboard (react to the Dashboard filters)</t>
  </si>
  <si>
    <t>Do not edit. These tables use the Region / Category / From / To selections made on the Dashboard.</t>
  </si>
  <si>
    <t>Region criteria</t>
  </si>
  <si>
    <t>*</t>
  </si>
  <si>
    <t>Category criteria</t>
  </si>
  <si>
    <t>Start</t>
  </si>
  <si>
    <t>SortKey</t>
  </si>
  <si>
    <t>Top Products</t>
  </si>
  <si>
    <t>Apr-24</t>
  </si>
  <si>
    <t>Cust ID</t>
  </si>
  <si>
    <t>Name</t>
  </si>
  <si>
    <t>Top Customers</t>
  </si>
  <si>
    <t>Customer transactions  |  11 Apr 2024 to 11 Apr 2025  |  250 orders  |  Last refreshed: 29 Oct 2026 09:51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</si>
</sst>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6" formatCode="dd\-mmm\-yyyy"/>
    <numFmt numFmtId="167" formatCode="&quot;$&quot;#,##0"/>
    <numFmt numFmtId="168" formatCode="yyyy\-mm\-dd"/>
    <numFmt numFmtId="169" formatCode="&quot;$&quot;#,##0.00"/>
    <numFmt numFmtId="170" formatCode="0.0%"/>
    <numFmt numFmtId="171" formatCode="dd\-mmm\-yy"/>
    <numFmt numFmtId="172" formatCode="\+0.0%;\-0.0%;0.0%"/>
    <numFmt numFmtId="173" formatCode="0.0"/>
    <numFmt numFmtId="174" formatCode="dd\-mmm\-yyyy\ hh:mm:ss"/>
    <numFmt numFmtId="175" formatCode="&quot;$&quot;#,##0;[Red]\-&quot;$&quot;#,##0"/>
    <numFmt numFmtId="176" formatCode="0.0%;[Red]\-0.0%"/>
    <numFmt numFmtId="177" formatCode="\+0%;\-0%;0%"/>
    <numFmt numFmtId="178" formatCode="0.0000"/>
    <numFmt numFmtId="179" formatCode="0.000"/>
    <numFmt numFmtId="180" formatCode="0.000000"/>
  </numFmts>
  <fonts count="30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24"/>
      <color indexed="9"/>
      <name val="Arial"/>
      <charset val="134"/>
    </font>
    <font>
      <sz val="10"/>
      <color indexed="31"/>
      <name val="Arial"/>
      <charset val="134"/>
    </font>
    <font>
      <b/>
      <sz val="9"/>
      <color indexed="63"/>
      <name val="Arial"/>
      <charset val="134"/>
    </font>
    <font>
      <b/>
      <sz val="10"/>
      <color indexed="12"/>
      <name val="Arial"/>
      <charset val="134"/>
    </font>
    <font>
      <b/>
      <sz val="9"/>
      <color indexed="23"/>
      <name val="Arial"/>
      <charset val="134"/>
    </font>
    <font>
      <b/>
      <sz val="24"/>
      <color indexed="21"/>
      <name val="Arial"/>
      <charset val="134"/>
    </font>
    <font>
      <b/>
      <sz val="24"/>
      <color indexed="52"/>
      <name val="Arial"/>
      <charset val="134"/>
    </font>
    <font>
      <b/>
      <sz val="24"/>
      <color indexed="48"/>
      <name val="Arial"/>
      <charset val="134"/>
    </font>
    <font>
      <b/>
      <sz val="24"/>
      <color indexed="29"/>
      <name val="Arial"/>
      <charset val="134"/>
    </font>
    <font>
      <b/>
      <sz val="24"/>
      <color indexed="57"/>
      <name val="Arial"/>
      <charset val="134"/>
    </font>
    <font>
      <i/>
      <sz val="9"/>
      <color indexed="23"/>
      <name val="Arial"/>
      <charset val="134"/>
    </font>
    <font>
      <b/>
      <sz val="11"/>
      <color indexed="9"/>
      <name val="Arial"/>
      <charset val="134"/>
    </font>
    <font>
      <b/>
      <sz val="9"/>
      <color indexed="9"/>
      <name val="Arial"/>
      <charset val="134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i/>
      <sz val="8"/>
      <color indexed="23"/>
      <name val="Arial"/>
      <charset val="134"/>
    </font>
    <font>
      <sz val="10"/>
      <color indexed="63"/>
      <name val="Arial"/>
      <charset val="134"/>
    </font>
    <font>
      <b/>
      <sz val="16"/>
      <color indexed="9"/>
      <name val="Arial"/>
      <charset val="134"/>
    </font>
    <font>
      <b/>
      <sz val="10"/>
      <color indexed="8"/>
      <name val="Arial"/>
      <charset val="134"/>
    </font>
    <font>
      <sz val="10"/>
      <color indexed="17"/>
      <name val="Arial"/>
      <charset val="134"/>
    </font>
    <font>
      <b/>
      <sz val="15"/>
      <color indexed="21"/>
      <name val="Arial"/>
      <charset val="134"/>
    </font>
    <font>
      <b/>
      <sz val="15"/>
      <color indexed="52"/>
      <name val="Arial"/>
      <charset val="134"/>
    </font>
    <font>
      <b/>
      <sz val="15"/>
      <color indexed="48"/>
      <name val="Arial"/>
      <charset val="134"/>
    </font>
    <font>
      <b/>
      <sz val="15"/>
      <color indexed="29"/>
      <name val="Arial"/>
      <charset val="134"/>
    </font>
    <font>
      <b/>
      <sz val="15"/>
      <color indexed="57"/>
      <name val="Arial"/>
      <charset val="134"/>
    </font>
    <font>
      <b/>
      <sz val="15"/>
      <color indexed="51"/>
      <name val="Arial"/>
      <charset val="134"/>
    </font>
    <font>
      <b/>
      <sz val="10"/>
      <color indexed="57"/>
      <name val="Arial"/>
      <charset val="134"/>
    </font>
    <font>
      <sz val="10"/>
      <color indexed="21"/>
      <name val="Arial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3F6FA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2B3A5C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F28C28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7B61FF"/>
        <bgColor indexed="64"/>
      </patternFill>
    </fill>
    <fill>
      <patternFill patternType="solid">
        <fgColor rgb="FFEF5B5B"/>
        <bgColor indexed="64"/>
      </patternFill>
    </fill>
    <fill>
      <patternFill patternType="solid">
        <fgColor rgb="FF2EAD6D"/>
        <bgColor indexed="64"/>
      </patternFill>
    </fill>
  </fills>
  <borders count="2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ck">
        <color rgb="FF00A6A6"/>
      </top>
      <bottom/>
      <diagonal/>
    </border>
    <border>
      <left/>
      <right/>
      <top style="thick">
        <color rgb="FFF28C28"/>
      </top>
      <bottom/>
      <diagonal/>
    </border>
    <border>
      <left/>
      <right/>
      <top style="thick">
        <color rgb="FF7B61FF"/>
      </top>
      <bottom/>
      <diagonal/>
    </border>
    <border>
      <left/>
      <right/>
      <top style="thick">
        <color rgb="FFEF5B5B"/>
      </top>
      <bottom/>
      <diagonal/>
    </border>
    <border>
      <left/>
      <right/>
      <top style="thick">
        <color rgb="FF2EAD6D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ck">
        <color rgb="FF00A6A6"/>
      </top>
      <bottom/>
      <diagonal/>
    </border>
    <border>
      <left style="thin">
        <color rgb="FFD1D5DB"/>
      </left>
      <right style="thin">
        <color rgb="FFD1D5DB"/>
      </right>
      <top style="thick">
        <color rgb="FFF28C28"/>
      </top>
      <bottom/>
      <diagonal/>
    </border>
    <border>
      <left style="thin">
        <color rgb="FFD1D5DB"/>
      </left>
      <right style="thin">
        <color rgb="FFD1D5DB"/>
      </right>
      <top style="thick">
        <color rgb="FF7B61FF"/>
      </top>
      <bottom/>
      <diagonal/>
    </border>
    <border>
      <left style="thin">
        <color rgb="FFD1D5DB"/>
      </left>
      <right style="thin">
        <color rgb="FFD1D5DB"/>
      </right>
      <top style="thick">
        <color rgb="FFEF5B5B"/>
      </top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ck">
        <color rgb="FF2EAD6D"/>
      </top>
      <bottom/>
      <diagonal/>
    </border>
    <border>
      <left style="thin">
        <color rgb="FFD1D5DB"/>
      </left>
      <right style="thin">
        <color rgb="FFD1D5DB"/>
      </right>
      <top style="thick">
        <color rgb="FFF2B705"/>
      </top>
      <bottom/>
      <diagonal/>
    </border>
    <border>
      <left style="thin">
        <color rgb="FFD1D5DB"/>
      </left>
      <right style="thin">
        <color rgb="FFD1D5DB"/>
      </right>
      <top style="thick">
        <color rgb="FF3B82F6"/>
      </top>
      <bottom/>
      <diagonal/>
    </border>
    <border>
      <left style="thin">
        <color rgb="FFD1D5DB"/>
      </left>
      <right style="thin">
        <color rgb="FFD1D5DB"/>
      </right>
      <top style="thick">
        <color rgb="FFEC4899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4" fillId="5" borderId="1" xfId="0" applyNumberFormat="1" applyFont="1" applyFill="1" applyBorder="1" applyAlignment="1" applyProtection="1">
      <alignment horizontal="center" vertical="center" wrapText="1"/>
    </xf>
    <xf numFmtId="0" fontId="5" fillId="6" borderId="1" xfId="0" applyNumberFormat="1" applyFont="1" applyFill="1" applyBorder="1" applyAlignment="1" applyProtection="1">
      <alignment horizontal="center" vertical="center" wrapText="1"/>
    </xf>
    <xf numFmtId="0" fontId="5" fillId="6" borderId="3" xfId="0" applyNumberFormat="1" applyFont="1" applyFill="1" applyBorder="1" applyAlignment="1" applyProtection="1">
      <alignment horizontal="center" vertical="center" wrapText="1"/>
    </xf>
    <xf numFmtId="0" fontId="5" fillId="6" borderId="4" xfId="0" applyNumberFormat="1" applyFont="1" applyFill="1" applyBorder="1" applyAlignment="1" applyProtection="1">
      <alignment horizontal="center" vertical="center" wrapText="1"/>
    </xf>
    <xf numFmtId="166" fontId="5" fillId="6" borderId="3" xfId="0" applyNumberFormat="1" applyFont="1" applyFill="1" applyBorder="1" applyAlignment="1" applyProtection="1">
      <alignment horizontal="center" vertical="center" wrapText="1"/>
    </xf>
    <xf numFmtId="166" fontId="5" fillId="6" borderId="4" xfId="0" applyNumberFormat="1" applyFont="1" applyFill="1" applyBorder="1" applyAlignment="1" applyProtection="1">
      <alignment horizontal="center" vertical="center" wrapText="1"/>
    </xf>
    <xf numFmtId="0" fontId="6" fillId="7" borderId="5" xfId="0" applyNumberFormat="1" applyFont="1" applyFill="1" applyBorder="1" applyAlignment="1" applyProtection="1">
      <alignment horizontal="center" vertical="center" wrapText="1"/>
    </xf>
    <xf numFmtId="0" fontId="6" fillId="7" borderId="6" xfId="0" applyNumberFormat="1" applyFont="1" applyFill="1" applyBorder="1" applyAlignment="1" applyProtection="1">
      <alignment horizontal="center" vertical="center" wrapText="1"/>
    </xf>
    <xf numFmtId="0" fontId="6" fillId="7" borderId="7" xfId="0" applyNumberFormat="1" applyFont="1" applyFill="1" applyBorder="1" applyAlignment="1" applyProtection="1">
      <alignment horizontal="center" vertical="center" wrapText="1"/>
    </xf>
    <xf numFmtId="0" fontId="6" fillId="7" borderId="8" xfId="0" applyNumberFormat="1" applyFont="1" applyFill="1" applyBorder="1" applyAlignment="1" applyProtection="1">
      <alignment horizontal="center" vertical="center" wrapText="1"/>
    </xf>
    <xf numFmtId="0" fontId="6" fillId="7" borderId="9" xfId="0" applyNumberFormat="1" applyFont="1" applyFill="1" applyBorder="1" applyAlignment="1" applyProtection="1">
      <alignment horizontal="center" vertical="center" wrapText="1"/>
    </xf>
    <xf numFmtId="167" fontId="7" fillId="7" borderId="0" xfId="0" applyNumberFormat="1" applyFont="1" applyFill="1" applyBorder="1" applyAlignment="1" applyProtection="1">
      <alignment horizontal="center" vertical="center" wrapText="1"/>
    </xf>
    <xf numFmtId="3" fontId="8" fillId="7" borderId="0" xfId="0" applyNumberFormat="1" applyFont="1" applyFill="1" applyBorder="1" applyAlignment="1" applyProtection="1">
      <alignment horizontal="center" vertical="center" wrapText="1"/>
    </xf>
    <xf numFmtId="3" fontId="9" fillId="7" borderId="0" xfId="0" applyNumberFormat="1" applyFont="1" applyFill="1" applyBorder="1" applyAlignment="1" applyProtection="1">
      <alignment horizontal="center" vertical="center" wrapText="1"/>
    </xf>
    <xf numFmtId="167" fontId="10" fillId="7" borderId="0" xfId="0" applyNumberFormat="1" applyFont="1" applyFill="1" applyBorder="1" applyAlignment="1" applyProtection="1">
      <alignment horizontal="center" vertical="center" wrapText="1"/>
    </xf>
    <xf numFmtId="1" fontId="11" fillId="7" borderId="0" xfId="0" applyNumberFormat="1" applyFont="1" applyFill="1" applyBorder="1" applyAlignment="1" applyProtection="1">
      <alignment horizontal="center" vertical="center" wrapText="1"/>
    </xf>
    <xf numFmtId="0" fontId="12" fillId="7" borderId="0" xfId="0" applyNumberFormat="1" applyFont="1" applyFill="1" applyBorder="1" applyAlignment="1" applyProtection="1">
      <alignment horizontal="center" vertical="center" wrapText="1"/>
    </xf>
    <xf numFmtId="0" fontId="13" fillId="3" borderId="0" xfId="0" applyNumberFormat="1" applyFont="1" applyFill="1" applyBorder="1" applyAlignment="1" applyProtection="1">
      <alignment horizontal="left" vertical="center" indent="1"/>
    </xf>
    <xf numFmtId="0" fontId="1" fillId="3" borderId="0" xfId="0" applyNumberFormat="1" applyFont="1" applyFill="1" applyBorder="1" applyAlignment="1" applyProtection="1"/>
    <xf numFmtId="0" fontId="13" fillId="8" borderId="0" xfId="0" applyNumberFormat="1" applyFont="1" applyFill="1" applyBorder="1" applyAlignment="1" applyProtection="1">
      <alignment horizontal="left" vertical="center" indent="1"/>
    </xf>
    <xf numFmtId="0" fontId="1" fillId="8" borderId="0" xfId="0" applyNumberFormat="1" applyFont="1" applyFill="1" applyBorder="1" applyAlignment="1" applyProtection="1"/>
    <xf numFmtId="0" fontId="14" fillId="9" borderId="10" xfId="0" applyNumberFormat="1" applyFont="1" applyFill="1" applyBorder="1" applyAlignment="1" applyProtection="1">
      <alignment horizontal="center" vertical="center" wrapText="1"/>
    </xf>
    <xf numFmtId="0" fontId="14" fillId="9" borderId="11" xfId="0" applyNumberFormat="1" applyFont="1" applyFill="1" applyBorder="1" applyAlignment="1" applyProtection="1">
      <alignment horizontal="center" vertical="center" wrapText="1"/>
    </xf>
    <xf numFmtId="0" fontId="15" fillId="9" borderId="1" xfId="0" applyNumberFormat="1" applyFont="1" applyFill="1" applyBorder="1" applyAlignment="1" applyProtection="1">
      <alignment horizontal="center" vertical="center" wrapText="1"/>
    </xf>
    <xf numFmtId="0" fontId="14" fillId="9" borderId="1" xfId="0" applyNumberFormat="1" applyFont="1" applyFill="1" applyBorder="1" applyAlignment="1" applyProtection="1">
      <alignment horizontal="center" vertical="center" wrapText="1"/>
    </xf>
    <xf numFmtId="0" fontId="16" fillId="7" borderId="3" xfId="0" applyNumberFormat="1" applyFont="1" applyFill="1" applyBorder="1" applyAlignment="1" applyProtection="1"/>
    <xf numFmtId="0" fontId="16" fillId="7" borderId="4" xfId="0" applyNumberFormat="1" applyFont="1" applyFill="1" applyBorder="1" applyAlignment="1" applyProtection="1"/>
    <xf numFmtId="167" fontId="16" fillId="7" borderId="1" xfId="0" applyNumberFormat="1" applyFont="1" applyFill="1" applyBorder="1" applyAlignment="1" applyProtection="1">
      <alignment horizontal="center" vertical="center" wrapText="1"/>
    </xf>
    <xf numFmtId="167" fontId="5" fillId="6" borderId="1" xfId="0" applyNumberFormat="1" applyFont="1" applyFill="1" applyBorder="1" applyAlignment="1" applyProtection="1">
      <alignment horizontal="center" vertical="center" wrapText="1"/>
    </xf>
    <xf numFmtId="9" fontId="16" fillId="7" borderId="1" xfId="0" applyNumberFormat="1" applyFont="1" applyFill="1" applyBorder="1" applyAlignment="1" applyProtection="1">
      <alignment horizontal="center" vertical="center" wrapText="1"/>
    </xf>
    <xf numFmtId="0" fontId="16" fillId="7" borderId="1" xfId="0" applyNumberFormat="1" applyFont="1" applyFill="1" applyBorder="1" applyAlignment="1" applyProtection="1">
      <alignment horizontal="center" vertical="center" wrapText="1"/>
    </xf>
    <xf numFmtId="167" fontId="16" fillId="7" borderId="3" xfId="0" applyNumberFormat="1" applyFont="1" applyFill="1" applyBorder="1" applyAlignment="1" applyProtection="1"/>
    <xf numFmtId="167" fontId="16" fillId="7" borderId="4" xfId="0" applyNumberFormat="1" applyFont="1" applyFill="1" applyBorder="1" applyAlignment="1" applyProtection="1"/>
    <xf numFmtId="3" fontId="16" fillId="7" borderId="1" xfId="0" applyNumberFormat="1" applyFont="1" applyFill="1" applyBorder="1" applyAlignment="1" applyProtection="1">
      <alignment horizontal="center" vertical="center" wrapText="1"/>
    </xf>
    <xf numFmtId="3" fontId="5" fillId="6" borderId="1" xfId="0" applyNumberFormat="1" applyFont="1" applyFill="1" applyBorder="1" applyAlignment="1" applyProtection="1">
      <alignment horizontal="center" vertical="center" wrapText="1"/>
    </xf>
    <xf numFmtId="2" fontId="16" fillId="7" borderId="1" xfId="0" applyNumberFormat="1" applyFont="1" applyFill="1" applyBorder="1" applyAlignment="1" applyProtection="1">
      <alignment horizontal="center" vertical="center" wrapText="1"/>
    </xf>
    <xf numFmtId="2" fontId="5" fillId="6" borderId="1" xfId="0" applyNumberFormat="1" applyFont="1" applyFill="1" applyBorder="1" applyAlignment="1" applyProtection="1">
      <alignment horizontal="center" vertical="center" wrapText="1"/>
    </xf>
    <xf numFmtId="0" fontId="17" fillId="2" borderId="0" xfId="0" applyNumberFormat="1" applyFont="1" applyFill="1" applyBorder="1" applyAlignment="1" applyProtection="1">
      <alignment horizontal="left"/>
    </xf>
    <xf numFmtId="0" fontId="13" fillId="10" borderId="0" xfId="0" applyNumberFormat="1" applyFont="1" applyFill="1" applyBorder="1" applyAlignment="1" applyProtection="1">
      <alignment horizontal="left" vertical="center" indent="1"/>
    </xf>
    <xf numFmtId="0" fontId="1" fillId="10" borderId="0" xfId="0" applyNumberFormat="1" applyFont="1" applyFill="1" applyBorder="1" applyAlignment="1" applyProtection="1"/>
    <xf numFmtId="0" fontId="15" fillId="3" borderId="1" xfId="0" applyNumberFormat="1" applyFont="1" applyFill="1" applyBorder="1" applyAlignment="1" applyProtection="1">
      <alignment horizontal="center" vertical="center" wrapText="1"/>
    </xf>
    <xf numFmtId="0" fontId="15" fillId="10" borderId="1" xfId="0" applyNumberFormat="1" applyFont="1" applyFill="1" applyBorder="1" applyAlignment="1" applyProtection="1">
      <alignment horizontal="center" vertical="center" wrapText="1"/>
    </xf>
    <xf numFmtId="0" fontId="16" fillId="0" borderId="0" xfId="0" applyNumberFormat="1" applyFont="1" applyFill="1" applyBorder="1" applyAlignment="1" applyProtection="1"/>
    <xf numFmtId="168" fontId="16" fillId="0" borderId="0" xfId="0" applyNumberFormat="1" applyFont="1" applyFill="1" applyBorder="1" applyAlignment="1" applyProtection="1"/>
    <xf numFmtId="4" fontId="16" fillId="0" borderId="0" xfId="0" applyNumberFormat="1" applyFont="1" applyFill="1" applyBorder="1" applyAlignment="1" applyProtection="1"/>
    <xf numFmtId="17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  <xf numFmtId="0" fontId="19" fillId="3" borderId="0" xfId="0" applyNumberFormat="1" applyFont="1" applyFill="1" applyBorder="1" applyAlignment="1" applyProtection="1">
      <alignment horizontal="left" vertical="center" indent="1"/>
    </xf>
    <xf numFmtId="0" fontId="12" fillId="0" borderId="0" xfId="0" applyNumberFormat="1" applyFont="1" applyFill="1" applyBorder="1" applyAlignment="1" applyProtection="1">
      <alignment horizontal="left" vertical="center" indent="1"/>
    </xf>
    <xf numFmtId="0" fontId="20" fillId="11" borderId="1" xfId="0" applyNumberFormat="1" applyFont="1" applyFill="1" applyBorder="1" applyAlignment="1" applyProtection="1"/>
    <xf numFmtId="167" fontId="16" fillId="0" borderId="1" xfId="0" applyNumberFormat="1" applyFont="1" applyFill="1" applyBorder="1" applyAlignment="1" applyProtection="1">
      <alignment horizontal="right"/>
    </xf>
    <xf numFmtId="0" fontId="16" fillId="0" borderId="1" xfId="0" applyNumberFormat="1" applyFont="1" applyFill="1" applyBorder="1" applyAlignment="1" applyProtection="1"/>
    <xf numFmtId="3" fontId="16" fillId="0" borderId="1" xfId="0" applyNumberFormat="1" applyFont="1" applyFill="1" applyBorder="1" applyAlignment="1" applyProtection="1">
      <alignment horizontal="right"/>
    </xf>
    <xf numFmtId="169" fontId="16" fillId="0" borderId="1" xfId="0" applyNumberFormat="1" applyFont="1" applyFill="1" applyBorder="1" applyAlignment="1" applyProtection="1">
      <alignment horizontal="right"/>
    </xf>
    <xf numFmtId="1" fontId="16" fillId="0" borderId="1" xfId="0" applyNumberFormat="1" applyFont="1" applyFill="1" applyBorder="1" applyAlignment="1" applyProtection="1">
      <alignment horizontal="right"/>
    </xf>
    <xf numFmtId="166" fontId="16" fillId="0" borderId="1" xfId="0" applyNumberFormat="1" applyFont="1" applyFill="1" applyBorder="1" applyAlignment="1" applyProtection="1">
      <alignment horizontal="right"/>
    </xf>
    <xf numFmtId="0" fontId="16" fillId="0" borderId="1" xfId="0" applyNumberFormat="1" applyFont="1" applyFill="1" applyBorder="1" applyAlignment="1" applyProtection="1">
      <alignment horizontal="right"/>
    </xf>
    <xf numFmtId="167" fontId="16" fillId="0" borderId="1" xfId="0" applyNumberFormat="1" applyFont="1" applyFill="1" applyBorder="1" applyAlignment="1" applyProtection="1"/>
    <xf numFmtId="3" fontId="16" fillId="0" borderId="1" xfId="0" applyNumberFormat="1" applyFont="1" applyFill="1" applyBorder="1" applyAlignment="1" applyProtection="1"/>
    <xf numFmtId="170" fontId="16" fillId="0" borderId="1" xfId="0" applyNumberFormat="1" applyFont="1" applyFill="1" applyBorder="1" applyAlignment="1" applyProtection="1"/>
    <xf numFmtId="167" fontId="20" fillId="11" borderId="1" xfId="0" applyNumberFormat="1" applyFont="1" applyFill="1" applyBorder="1" applyAlignment="1" applyProtection="1"/>
    <xf numFmtId="3" fontId="20" fillId="11" borderId="1" xfId="0" applyNumberFormat="1" applyFont="1" applyFill="1" applyBorder="1" applyAlignment="1" applyProtection="1"/>
    <xf numFmtId="170" fontId="20" fillId="11" borderId="1" xfId="0" applyNumberFormat="1" applyFont="1" applyFill="1" applyBorder="1" applyAlignment="1" applyProtection="1"/>
    <xf numFmtId="0" fontId="13" fillId="12" borderId="0" xfId="0" applyNumberFormat="1" applyFont="1" applyFill="1" applyBorder="1" applyAlignment="1" applyProtection="1">
      <alignment horizontal="left" vertical="center" indent="1"/>
    </xf>
    <xf numFmtId="0" fontId="1" fillId="12" borderId="0" xfId="0" applyNumberFormat="1" applyFont="1" applyFill="1" applyBorder="1" applyAlignment="1" applyProtection="1"/>
    <xf numFmtId="0" fontId="13" fillId="13" borderId="0" xfId="0" applyNumberFormat="1" applyFont="1" applyFill="1" applyBorder="1" applyAlignment="1" applyProtection="1">
      <alignment horizontal="left" vertical="center" indent="1"/>
    </xf>
    <xf numFmtId="0" fontId="1" fillId="13" borderId="0" xfId="0" applyNumberFormat="1" applyFont="1" applyFill="1" applyBorder="1" applyAlignment="1" applyProtection="1"/>
    <xf numFmtId="0" fontId="13" fillId="14" borderId="0" xfId="0" applyNumberFormat="1" applyFont="1" applyFill="1" applyBorder="1" applyAlignment="1" applyProtection="1">
      <alignment horizontal="left" vertical="center" indent="1"/>
    </xf>
    <xf numFmtId="0" fontId="1" fillId="14" borderId="0" xfId="0" applyNumberFormat="1" applyFont="1" applyFill="1" applyBorder="1" applyAlignment="1" applyProtection="1"/>
    <xf numFmtId="169" fontId="16" fillId="0" borderId="1" xfId="0" applyNumberFormat="1" applyFont="1" applyFill="1" applyBorder="1" applyAlignment="1" applyProtection="1"/>
    <xf numFmtId="1" fontId="16" fillId="0" borderId="1" xfId="0" applyNumberFormat="1" applyFont="1" applyFill="1" applyBorder="1" applyAlignment="1" applyProtection="1">
      <alignment horizontal="center" vertical="center" wrapText="1"/>
    </xf>
    <xf numFmtId="171" fontId="16" fillId="0" borderId="1" xfId="0" applyNumberFormat="1" applyFont="1" applyFill="1" applyBorder="1" applyAlignment="1" applyProtection="1"/>
    <xf numFmtId="0" fontId="16" fillId="0" borderId="1" xfId="0" applyNumberFormat="1" applyFont="1" applyFill="1" applyBorder="1" applyAlignment="1" applyProtection="1">
      <alignment horizontal="center" vertical="center" wrapText="1"/>
    </xf>
    <xf numFmtId="172" fontId="16" fillId="0" borderId="1" xfId="0" applyNumberFormat="1" applyFont="1" applyFill="1" applyBorder="1" applyAlignment="1" applyProtection="1">
      <alignment horizontal="center" vertical="center" wrapText="1"/>
    </xf>
    <xf numFmtId="167" fontId="20" fillId="0" borderId="1" xfId="0" applyNumberFormat="1" applyFont="1" applyFill="1" applyBorder="1" applyAlignment="1" applyProtection="1"/>
    <xf numFmtId="167" fontId="5" fillId="6" borderId="1" xfId="0" applyNumberFormat="1" applyFont="1" applyFill="1" applyBorder="1" applyAlignment="1" applyProtection="1"/>
    <xf numFmtId="173" fontId="16" fillId="0" borderId="1" xfId="0" applyNumberFormat="1" applyFont="1" applyFill="1" applyBorder="1" applyAlignment="1" applyProtection="1">
      <alignment horizontal="center" vertical="center" wrapText="1"/>
    </xf>
    <xf numFmtId="167" fontId="16" fillId="0" borderId="1" xfId="0" applyNumberFormat="1" applyFont="1" applyFill="1" applyBorder="1" applyAlignment="1" applyProtection="1">
      <alignment horizontal="center" vertical="center" wrapText="1"/>
    </xf>
    <xf numFmtId="1" fontId="16" fillId="0" borderId="0" xfId="0" applyNumberFormat="1" applyFont="1" applyFill="1" applyBorder="1" applyAlignment="1" applyProtection="1">
      <alignment horizontal="center" vertical="center" wrapText="1"/>
    </xf>
    <xf numFmtId="171" fontId="16" fillId="0" borderId="0" xfId="0" applyNumberFormat="1" applyFont="1" applyFill="1" applyBorder="1" applyAlignment="1" applyProtection="1"/>
    <xf numFmtId="169" fontId="16" fillId="0" borderId="0" xfId="0" applyNumberFormat="1" applyFont="1" applyFill="1" applyBorder="1" applyAlignment="1" applyProtection="1"/>
    <xf numFmtId="166" fontId="16" fillId="0" borderId="1" xfId="0" applyNumberFormat="1" applyFont="1" applyFill="1" applyBorder="1" applyAlignment="1" applyProtection="1">
      <alignment horizontal="center" vertical="center" wrapText="1"/>
    </xf>
    <xf numFmtId="174" fontId="16" fillId="0" borderId="1" xfId="0" applyNumberFormat="1" applyFont="1" applyFill="1" applyBorder="1" applyAlignment="1" applyProtection="1">
      <alignment horizontal="center" vertical="center" wrapText="1"/>
    </xf>
    <xf numFmtId="3" fontId="16" fillId="0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left" vertical="center" wrapText="1"/>
    </xf>
    <xf numFmtId="0" fontId="17" fillId="0" borderId="0" xfId="0" applyNumberFormat="1" applyFont="1" applyFill="1" applyBorder="1" applyAlignment="1" applyProtection="1"/>
    <xf numFmtId="170" fontId="5" fillId="6" borderId="1" xfId="0" applyNumberFormat="1" applyFont="1" applyFill="1" applyBorder="1" applyAlignment="1" applyProtection="1">
      <alignment horizontal="center" vertical="center" wrapText="1"/>
    </xf>
    <xf numFmtId="170" fontId="20" fillId="0" borderId="1" xfId="0" applyNumberFormat="1" applyFont="1" applyFill="1" applyBorder="1" applyAlignment="1" applyProtection="1">
      <alignment horizontal="center" vertical="center" wrapText="1"/>
    </xf>
    <xf numFmtId="167" fontId="21" fillId="0" borderId="1" xfId="0" applyNumberFormat="1" applyFont="1" applyFill="1" applyBorder="1" applyAlignment="1" applyProtection="1"/>
    <xf numFmtId="175" fontId="16" fillId="0" borderId="1" xfId="0" applyNumberFormat="1" applyFont="1" applyFill="1" applyBorder="1" applyAlignment="1" applyProtection="1"/>
    <xf numFmtId="176" fontId="16" fillId="0" borderId="1" xfId="0" applyNumberFormat="1" applyFont="1" applyFill="1" applyBorder="1" applyAlignment="1" applyProtection="1"/>
    <xf numFmtId="175" fontId="20" fillId="11" borderId="1" xfId="0" applyNumberFormat="1" applyFont="1" applyFill="1" applyBorder="1" applyAlignment="1" applyProtection="1"/>
    <xf numFmtId="176" fontId="20" fillId="11" borderId="1" xfId="0" applyNumberFormat="1" applyFont="1" applyFill="1" applyBorder="1" applyAlignment="1" applyProtection="1"/>
    <xf numFmtId="177" fontId="5" fillId="6" borderId="1" xfId="0" applyNumberFormat="1" applyFont="1" applyFill="1" applyBorder="1" applyAlignment="1" applyProtection="1">
      <alignment horizontal="center" vertical="center" wrapText="1"/>
    </xf>
    <xf numFmtId="167" fontId="21" fillId="0" borderId="1" xfId="0" applyNumberFormat="1" applyFont="1" applyFill="1" applyBorder="1" applyAlignment="1" applyProtection="1">
      <alignment horizontal="center" vertical="center" wrapText="1"/>
    </xf>
    <xf numFmtId="10" fontId="5" fillId="6" borderId="1" xfId="0" applyNumberFormat="1" applyFont="1" applyFill="1" applyBorder="1" applyAlignment="1" applyProtection="1">
      <alignment horizontal="center" vertical="center" wrapText="1"/>
    </xf>
    <xf numFmtId="175" fontId="16" fillId="0" borderId="1" xfId="0" applyNumberFormat="1" applyFont="1" applyFill="1" applyBorder="1" applyAlignment="1" applyProtection="1">
      <alignment horizontal="center" vertical="center" wrapText="1"/>
    </xf>
    <xf numFmtId="10" fontId="16" fillId="0" borderId="1" xfId="0" applyNumberFormat="1" applyFont="1" applyFill="1" applyBorder="1" applyAlignment="1" applyProtection="1">
      <alignment horizontal="center" vertical="center" wrapText="1"/>
    </xf>
    <xf numFmtId="0" fontId="15" fillId="12" borderId="1" xfId="0" applyNumberFormat="1" applyFont="1" applyFill="1" applyBorder="1" applyAlignment="1" applyProtection="1">
      <alignment horizontal="center" vertical="center" wrapText="1"/>
    </xf>
    <xf numFmtId="178" fontId="16" fillId="0" borderId="1" xfId="0" applyNumberFormat="1" applyFont="1" applyFill="1" applyBorder="1" applyAlignment="1" applyProtection="1">
      <alignment horizontal="center" vertical="center" wrapText="1"/>
    </xf>
    <xf numFmtId="179" fontId="16" fillId="0" borderId="1" xfId="0" applyNumberFormat="1" applyFont="1" applyFill="1" applyBorder="1" applyAlignment="1" applyProtection="1"/>
    <xf numFmtId="178" fontId="16" fillId="0" borderId="1" xfId="0" applyNumberFormat="1" applyFont="1" applyFill="1" applyBorder="1" applyAlignment="1" applyProtection="1"/>
    <xf numFmtId="4" fontId="16" fillId="0" borderId="1" xfId="0" applyNumberFormat="1" applyFont="1" applyFill="1" applyBorder="1" applyAlignment="1" applyProtection="1"/>
    <xf numFmtId="0" fontId="5" fillId="6" borderId="1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/>
    <xf numFmtId="0" fontId="15" fillId="3" borderId="3" xfId="0" applyNumberFormat="1" applyFont="1" applyFill="1" applyBorder="1" applyAlignment="1" applyProtection="1">
      <alignment horizontal="center" vertical="center" wrapText="1"/>
    </xf>
    <xf numFmtId="0" fontId="15" fillId="3" borderId="12" xfId="0" applyNumberFormat="1" applyFont="1" applyFill="1" applyBorder="1" applyAlignment="1" applyProtection="1">
      <alignment horizontal="center" vertical="center" wrapText="1"/>
    </xf>
    <xf numFmtId="0" fontId="15" fillId="3" borderId="4" xfId="0" applyNumberFormat="1" applyFont="1" applyFill="1" applyBorder="1" applyAlignment="1" applyProtection="1">
      <alignment horizontal="center" vertical="center" wrapText="1"/>
    </xf>
    <xf numFmtId="0" fontId="13" fillId="8" borderId="13" xfId="0" applyNumberFormat="1" applyFont="1" applyFill="1" applyBorder="1" applyAlignment="1" applyProtection="1">
      <alignment horizontal="center" vertical="center"/>
    </xf>
    <xf numFmtId="0" fontId="6" fillId="7" borderId="14" xfId="0" applyNumberFormat="1" applyFont="1" applyFill="1" applyBorder="1" applyAlignment="1" applyProtection="1">
      <alignment horizontal="center" vertical="center" wrapText="1"/>
    </xf>
    <xf numFmtId="0" fontId="6" fillId="7" borderId="15" xfId="0" applyNumberFormat="1" applyFont="1" applyFill="1" applyBorder="1" applyAlignment="1" applyProtection="1">
      <alignment horizontal="center" vertical="center" wrapText="1"/>
    </xf>
    <xf numFmtId="0" fontId="6" fillId="7" borderId="16" xfId="0" applyNumberFormat="1" applyFont="1" applyFill="1" applyBorder="1" applyAlignment="1" applyProtection="1">
      <alignment horizontal="center" vertical="center" wrapText="1"/>
    </xf>
    <xf numFmtId="0" fontId="6" fillId="7" borderId="17" xfId="0" applyNumberFormat="1" applyFont="1" applyFill="1" applyBorder="1" applyAlignment="1" applyProtection="1">
      <alignment horizontal="center" vertical="center" wrapText="1"/>
    </xf>
    <xf numFmtId="167" fontId="22" fillId="7" borderId="18" xfId="0" applyNumberFormat="1" applyFont="1" applyFill="1" applyBorder="1" applyAlignment="1" applyProtection="1">
      <alignment horizontal="center" vertical="center" wrapText="1"/>
    </xf>
    <xf numFmtId="3" fontId="23" fillId="7" borderId="18" xfId="0" applyNumberFormat="1" applyFont="1" applyFill="1" applyBorder="1" applyAlignment="1" applyProtection="1">
      <alignment horizontal="center" vertical="center" wrapText="1"/>
    </xf>
    <xf numFmtId="3" fontId="24" fillId="7" borderId="18" xfId="0" applyNumberFormat="1" applyFont="1" applyFill="1" applyBorder="1" applyAlignment="1" applyProtection="1">
      <alignment horizontal="center" vertical="center" wrapText="1"/>
    </xf>
    <xf numFmtId="169" fontId="25" fillId="7" borderId="18" xfId="0" applyNumberFormat="1" applyFont="1" applyFill="1" applyBorder="1" applyAlignment="1" applyProtection="1">
      <alignment horizontal="center" vertical="center" wrapText="1"/>
    </xf>
    <xf numFmtId="0" fontId="6" fillId="7" borderId="19" xfId="0" applyNumberFormat="1" applyFont="1" applyFill="1" applyBorder="1" applyAlignment="1" applyProtection="1">
      <alignment horizontal="center" vertical="center" wrapText="1"/>
    </xf>
    <xf numFmtId="0" fontId="6" fillId="7" borderId="20" xfId="0" applyNumberFormat="1" applyFont="1" applyFill="1" applyBorder="1" applyAlignment="1" applyProtection="1">
      <alignment horizontal="center" vertical="center" wrapText="1"/>
    </xf>
    <xf numFmtId="0" fontId="6" fillId="7" borderId="21" xfId="0" applyNumberFormat="1" applyFont="1" applyFill="1" applyBorder="1" applyAlignment="1" applyProtection="1">
      <alignment horizontal="center" vertical="center" wrapText="1"/>
    </xf>
    <xf numFmtId="0" fontId="6" fillId="7" borderId="22" xfId="0" applyNumberFormat="1" applyFont="1" applyFill="1" applyBorder="1" applyAlignment="1" applyProtection="1">
      <alignment horizontal="center" vertical="center" wrapText="1"/>
    </xf>
    <xf numFmtId="1" fontId="26" fillId="7" borderId="18" xfId="0" applyNumberFormat="1" applyFont="1" applyFill="1" applyBorder="1" applyAlignment="1" applyProtection="1">
      <alignment horizontal="center" vertical="center" wrapText="1"/>
    </xf>
    <xf numFmtId="0" fontId="27" fillId="7" borderId="18" xfId="0" applyNumberFormat="1" applyFont="1" applyFill="1" applyBorder="1" applyAlignment="1" applyProtection="1">
      <alignment horizontal="center" vertical="center" wrapText="1"/>
    </xf>
    <xf numFmtId="0" fontId="24" fillId="7" borderId="18" xfId="0" applyNumberFormat="1" applyFont="1" applyFill="1" applyBorder="1" applyAlignment="1" applyProtection="1">
      <alignment horizontal="center" vertical="center" wrapText="1"/>
    </xf>
    <xf numFmtId="0" fontId="25" fillId="7" borderId="18" xfId="0" applyNumberFormat="1" applyFont="1" applyFill="1" applyBorder="1" applyAlignment="1" applyProtection="1">
      <alignment horizontal="center" vertical="center" wrapText="1"/>
    </xf>
    <xf numFmtId="0" fontId="16" fillId="7" borderId="3" xfId="0" applyNumberFormat="1" applyFont="1" applyFill="1" applyBorder="1" applyAlignment="1" applyProtection="1">
      <alignment horizontal="left" vertical="center" wrapText="1"/>
    </xf>
    <xf numFmtId="0" fontId="16" fillId="7" borderId="4" xfId="0" applyNumberFormat="1" applyFont="1" applyFill="1" applyBorder="1" applyAlignment="1" applyProtection="1">
      <alignment horizontal="left" vertical="center" wrapText="1"/>
    </xf>
    <xf numFmtId="0" fontId="16" fillId="7" borderId="12" xfId="0" applyNumberFormat="1" applyFont="1" applyFill="1" applyBorder="1" applyAlignment="1" applyProtection="1">
      <alignment horizontal="left" vertical="center" wrapText="1"/>
    </xf>
    <xf numFmtId="2" fontId="16" fillId="0" borderId="1" xfId="0" applyNumberFormat="1" applyFont="1" applyFill="1" applyBorder="1" applyAlignment="1" applyProtection="1">
      <alignment horizontal="center" vertical="center" wrapText="1"/>
    </xf>
    <xf numFmtId="0" fontId="28" fillId="0" borderId="1" xfId="0" applyNumberFormat="1" applyFont="1" applyFill="1" applyBorder="1" applyAlignment="1" applyProtection="1">
      <alignment horizontal="center" vertical="center" wrapText="1"/>
    </xf>
    <xf numFmtId="0" fontId="20" fillId="11" borderId="1" xfId="0" applyNumberFormat="1" applyFont="1" applyFill="1" applyBorder="1" applyAlignment="1" applyProtection="1">
      <alignment horizontal="left" vertical="center" wrapText="1"/>
    </xf>
    <xf numFmtId="0" fontId="16" fillId="0" borderId="1" xfId="0" applyNumberFormat="1" applyFont="1" applyFill="1" applyBorder="1" applyAlignment="1" applyProtection="1">
      <alignment horizontal="left" vertical="center" wrapText="1"/>
    </xf>
    <xf numFmtId="0" fontId="29" fillId="0" borderId="1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/>
    <xf numFmtId="167" fontId="16" fillId="0" borderId="0" xfId="0" applyNumberFormat="1" applyFont="1" applyFill="1" applyBorder="1" applyAlignment="1" applyProtection="1"/>
    <xf numFmtId="1" fontId="16" fillId="0" borderId="0" xfId="0" applyNumberFormat="1" applyFont="1" applyFill="1" applyBorder="1" applyAlignment="1" applyProtection="1"/>
    <xf numFmtId="180" fontId="16" fillId="0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 (selection)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2000" cap="rnd" cmpd="sng" algn="ctr">
              <a:solidFill>
                <a:srgbClr val="00A6A6"/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00A6A6"/>
              </a:solidFill>
              <a:ln w="9525" cap="flat" cmpd="sng" algn="ctr">
                <a:solidFill>
                  <a:srgbClr val="FFFFFF"/>
                </a:solidFill>
                <a:prstDash val="solid"/>
                <a:round/>
              </a:ln>
            </c:spPr>
          </c:marker>
          <c:val>
            <c:numRef>
              <c:f>[Data_Intelligence_Dashboard.xlsx]Dash_Calc!$N$7:$N$19</c:f>
              <c:numCache>
                <c:formatCode>"$"#,##0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18479.400000000001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[Data_Intelligence_Dashboard.xlsx]Dash_Calc!$N$6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[Data_Intelligence_Dashboard.xlsx]Dash_Calc!$M$7:$M$19</c15:sqref>
                        </c15:formulaRef>
                      </c:ext>
                    </c:extLst>
                    <c:strCache>
                      <c:ptCount val="13"/>
                      <c:pt idx="0">
                        <c:v>Apr-24</c:v>
                      </c:pt>
                      <c:pt idx="1">
                        <c:v>May-24</c:v>
                      </c:pt>
                      <c:pt idx="2">
                        <c:v>Jun-24</c:v>
                      </c:pt>
                      <c:pt idx="3">
                        <c:v>Jul-24</c:v>
                      </c:pt>
                      <c:pt idx="4">
                        <c:v>Aug-24</c:v>
                      </c:pt>
                      <c:pt idx="5">
                        <c:v>Sep-24</c:v>
                      </c:pt>
                      <c:pt idx="6">
                        <c:v>Oct-24</c:v>
                      </c:pt>
                      <c:pt idx="7">
                        <c:v>Nov-24</c:v>
                      </c:pt>
                      <c:pt idx="8">
                        <c:v>Dec-24</c:v>
                      </c:pt>
                      <c:pt idx="9">
                        <c:v>Jan-25</c:v>
                      </c:pt>
                      <c:pt idx="10">
                        <c:v>Feb-25</c:v>
                      </c:pt>
                      <c:pt idx="11">
                        <c:v>Mar-25</c:v>
                      </c:pt>
                      <c:pt idx="12">
                        <c:v>Apr-25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57C-4F78-B8E4-D5A5BF659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a4646a0-5d19-4f5c-8734-7c9a76e8694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00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95C-4401-A67C-28D40AE0E9C6}"/>
              </c:ext>
            </c:extLst>
          </c:dPt>
          <c:dPt>
            <c:idx val="1"/>
            <c:bubble3D val="0"/>
            <c:spPr>
              <a:solidFill>
                <a:srgbClr val="F28C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95C-4401-A67C-28D40AE0E9C6}"/>
              </c:ext>
            </c:extLst>
          </c:dPt>
          <c:dPt>
            <c:idx val="2"/>
            <c:bubble3D val="0"/>
            <c:spPr>
              <a:solidFill>
                <a:srgbClr val="7B61F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95C-4401-A67C-28D40AE0E9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[Data_Intelligence_Dashboard.xlsx]Dash_Calc!$B$7:$B$9</c:f>
              <c:numCache>
                <c:formatCode>"$"#,##0</c:formatCode>
                <c:ptCount val="3"/>
                <c:pt idx="0">
                  <c:v>171756.05</c:v>
                </c:pt>
                <c:pt idx="1">
                  <c:v>49097.68</c:v>
                </c:pt>
                <c:pt idx="2">
                  <c:v>8338.74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[Data_Intelligence_Dashboard.xlsx]Dash_Calc!$B$6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[Data_Intelligence_Dashboard.xlsx]Dash_Calc!$A$7:$A$9</c15:sqref>
                        </c15:formulaRef>
                      </c:ext>
                    </c:extLst>
                    <c:strCache>
                      <c:ptCount val="3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Appliances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95C-4401-A67C-28D40AE0E9C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d8c0ab-75ee-4413-a134-68015e0341f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A6A6"/>
            </a:solidFill>
            <a:ln>
              <a:solidFill>
                <a:srgbClr val="00A6A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A6A6"/>
              </a:solidFill>
              <a:ln>
                <a:solidFill>
                  <a:srgbClr val="00A6A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C3-4BA0-B7F0-89DAC34A3EDD}"/>
              </c:ext>
            </c:extLst>
          </c:dPt>
          <c:dPt>
            <c:idx val="1"/>
            <c:invertIfNegative val="0"/>
            <c:bubble3D val="0"/>
            <c:spPr>
              <a:solidFill>
                <a:srgbClr val="F28C28"/>
              </a:solidFill>
              <a:ln>
                <a:solidFill>
                  <a:srgbClr val="F28C2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C3-4BA0-B7F0-89DAC34A3EDD}"/>
              </c:ext>
            </c:extLst>
          </c:dPt>
          <c:dPt>
            <c:idx val="2"/>
            <c:invertIfNegative val="0"/>
            <c:bubble3D val="0"/>
            <c:spPr>
              <a:solidFill>
                <a:srgbClr val="7B61FF"/>
              </a:solidFill>
              <a:ln>
                <a:solidFill>
                  <a:srgbClr val="7B61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C3-4BA0-B7F0-89DAC34A3EDD}"/>
              </c:ext>
            </c:extLst>
          </c:dPt>
          <c:dPt>
            <c:idx val="3"/>
            <c:invertIfNegative val="0"/>
            <c:bubble3D val="0"/>
            <c:spPr>
              <a:solidFill>
                <a:srgbClr val="EF5B5B"/>
              </a:solidFill>
              <a:ln>
                <a:solidFill>
                  <a:srgbClr val="EF5B5B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C3-4BA0-B7F0-89DAC34A3EDD}"/>
              </c:ext>
            </c:extLst>
          </c:dPt>
          <c:dPt>
            <c:idx val="4"/>
            <c:invertIfNegative val="0"/>
            <c:bubble3D val="0"/>
            <c:spPr>
              <a:solidFill>
                <a:srgbClr val="2EAD6D"/>
              </a:solidFill>
              <a:ln>
                <a:solidFill>
                  <a:srgbClr val="2EAD6D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C3-4BA0-B7F0-89DAC34A3E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[Data_Intelligence_Dashboard.xlsx]Dash_Calc!$E$7:$E$11</c:f>
              <c:numCache>
                <c:formatCode>"$"#,##0</c:formatCode>
                <c:ptCount val="5"/>
                <c:pt idx="0">
                  <c:v>59288.39</c:v>
                </c:pt>
                <c:pt idx="1">
                  <c:v>50808.31</c:v>
                </c:pt>
                <c:pt idx="2">
                  <c:v>41408.68</c:v>
                </c:pt>
                <c:pt idx="3">
                  <c:v>41288.339999999997</c:v>
                </c:pt>
                <c:pt idx="4">
                  <c:v>36398.75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[Data_Intelligence_Dashboard.xlsx]Dash_Calc!$E$6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[Data_Intelligence_Dashboard.xlsx]Dash_Calc!$D$7:$D$11</c15:sqref>
                        </c15:formulaRef>
                      </c:ext>
                    </c:extLst>
                    <c:strCache>
                      <c:ptCount val="5"/>
                      <c:pt idx="0">
                        <c:v>East</c:v>
                      </c:pt>
                      <c:pt idx="1">
                        <c:v>North</c:v>
                      </c:pt>
                      <c:pt idx="2">
                        <c:v>West</c:v>
                      </c:pt>
                      <c:pt idx="3">
                        <c:v>Central</c:v>
                      </c:pt>
                      <c:pt idx="4">
                        <c:v>South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3C3-4BA0-B7F0-89DAC34A3E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ead11f-8dbe-4270-9bd5-81684f211b3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Products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A6A6"/>
            </a:solidFill>
            <a:ln>
              <a:solidFill>
                <a:srgbClr val="00A6A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A6A6"/>
              </a:solidFill>
              <a:ln>
                <a:solidFill>
                  <a:srgbClr val="00A6A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E4-4083-A838-18891E2820C8}"/>
              </c:ext>
            </c:extLst>
          </c:dPt>
          <c:dPt>
            <c:idx val="1"/>
            <c:invertIfNegative val="0"/>
            <c:bubble3D val="0"/>
            <c:spPr>
              <a:solidFill>
                <a:srgbClr val="F28C28"/>
              </a:solidFill>
              <a:ln>
                <a:solidFill>
                  <a:srgbClr val="F28C2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E4-4083-A838-18891E2820C8}"/>
              </c:ext>
            </c:extLst>
          </c:dPt>
          <c:dPt>
            <c:idx val="2"/>
            <c:invertIfNegative val="0"/>
            <c:bubble3D val="0"/>
            <c:spPr>
              <a:solidFill>
                <a:srgbClr val="7B61FF"/>
              </a:solidFill>
              <a:ln>
                <a:solidFill>
                  <a:srgbClr val="7B61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E4-4083-A838-18891E2820C8}"/>
              </c:ext>
            </c:extLst>
          </c:dPt>
          <c:dPt>
            <c:idx val="3"/>
            <c:invertIfNegative val="0"/>
            <c:bubble3D val="0"/>
            <c:spPr>
              <a:solidFill>
                <a:srgbClr val="EF5B5B"/>
              </a:solidFill>
              <a:ln>
                <a:solidFill>
                  <a:srgbClr val="EF5B5B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E4-4083-A838-18891E2820C8}"/>
              </c:ext>
            </c:extLst>
          </c:dPt>
          <c:dPt>
            <c:idx val="4"/>
            <c:invertIfNegative val="0"/>
            <c:bubble3D val="0"/>
            <c:spPr>
              <a:solidFill>
                <a:srgbClr val="2EAD6D"/>
              </a:solidFill>
              <a:ln>
                <a:solidFill>
                  <a:srgbClr val="2EAD6D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E4-4083-A838-18891E2820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[Data_Intelligence_Dashboard.xlsx]Dash_Calc!$Y$7:$Y$11</c:f>
              <c:numCache>
                <c:formatCode>"$"#,##0</c:formatCode>
                <c:ptCount val="5"/>
                <c:pt idx="0">
                  <c:v>67499.25</c:v>
                </c:pt>
                <c:pt idx="1">
                  <c:v>67199.039999999994</c:v>
                </c:pt>
                <c:pt idx="2">
                  <c:v>23399.22</c:v>
                </c:pt>
                <c:pt idx="3">
                  <c:v>21999.119999999999</c:v>
                </c:pt>
                <c:pt idx="4">
                  <c:v>15298.98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[Data_Intelligence_Dashboard.xlsx]Dash_Calc!$Y$6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[Data_Intelligence_Dashboard.xlsx]Dash_Calc!$X$7:$X$11</c15:sqref>
                        </c15:formulaRef>
                      </c:ext>
                    </c:extLst>
                    <c:strCache>
                      <c:ptCount val="5"/>
                      <c:pt idx="0">
                        <c:v>Laptop</c:v>
                      </c:pt>
                      <c:pt idx="1">
                        <c:v>Smartphone</c:v>
                      </c:pt>
                      <c:pt idx="2">
                        <c:v>Desk</c:v>
                      </c:pt>
                      <c:pt idx="3">
                        <c:v>Monitor</c:v>
                      </c:pt>
                      <c:pt idx="4">
                        <c:v>Bookshelf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D7E4-4083-A838-18891E2820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t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06ddc4-26b5-4a38-b5e2-c6169a745a0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Method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00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42-4F56-9C0C-EE3BA03A04CF}"/>
              </c:ext>
            </c:extLst>
          </c:dPt>
          <c:dPt>
            <c:idx val="1"/>
            <c:bubble3D val="0"/>
            <c:spPr>
              <a:solidFill>
                <a:srgbClr val="F28C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42-4F56-9C0C-EE3BA03A04CF}"/>
              </c:ext>
            </c:extLst>
          </c:dPt>
          <c:dPt>
            <c:idx val="2"/>
            <c:bubble3D val="0"/>
            <c:spPr>
              <a:solidFill>
                <a:srgbClr val="7B61F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42-4F56-9C0C-EE3BA03A04CF}"/>
              </c:ext>
            </c:extLst>
          </c:dPt>
          <c:dPt>
            <c:idx val="3"/>
            <c:bubble3D val="0"/>
            <c:spPr>
              <a:solidFill>
                <a:srgbClr val="EF5B5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C42-4F56-9C0C-EE3BA03A04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[Data_Intelligence_Dashboard.xlsx]Dash_Calc!$H$7:$H$10</c:f>
              <c:numCache>
                <c:formatCode>"$"#,##0</c:formatCode>
                <c:ptCount val="4"/>
                <c:pt idx="0">
                  <c:v>61447.96</c:v>
                </c:pt>
                <c:pt idx="1">
                  <c:v>58198.41</c:v>
                </c:pt>
                <c:pt idx="2">
                  <c:v>57427.79</c:v>
                </c:pt>
                <c:pt idx="3">
                  <c:v>52118.31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[Data_Intelligence_Dashboard.xlsx]Dash_Calc!$H$6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[Data_Intelligence_Dashboard.xlsx]Dash_Calc!$G$7:$G$10</c15:sqref>
                        </c15:formulaRef>
                      </c:ext>
                    </c:extLst>
                    <c:strCache>
                      <c:ptCount val="4"/>
                      <c:pt idx="0">
                        <c:v>Credit Card</c:v>
                      </c:pt>
                      <c:pt idx="1">
                        <c:v>PayPal</c:v>
                      </c:pt>
                      <c:pt idx="2">
                        <c:v>Cash</c:v>
                      </c:pt>
                      <c:pt idx="3">
                        <c:v>Debit Card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C42-4F56-9C0C-EE3BA03A04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850988-4607-499d-ba38-714643b50b0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Customer Segment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A6A6"/>
            </a:solidFill>
            <a:ln>
              <a:solidFill>
                <a:srgbClr val="00A6A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A6A6"/>
              </a:solidFill>
              <a:ln>
                <a:solidFill>
                  <a:srgbClr val="00A6A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16-44E5-9914-1184E3CFE980}"/>
              </c:ext>
            </c:extLst>
          </c:dPt>
          <c:dPt>
            <c:idx val="1"/>
            <c:invertIfNegative val="0"/>
            <c:bubble3D val="0"/>
            <c:spPr>
              <a:solidFill>
                <a:srgbClr val="F28C28"/>
              </a:solidFill>
              <a:ln>
                <a:solidFill>
                  <a:srgbClr val="F28C2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16-44E5-9914-1184E3CFE980}"/>
              </c:ext>
            </c:extLst>
          </c:dPt>
          <c:dPt>
            <c:idx val="2"/>
            <c:invertIfNegative val="0"/>
            <c:bubble3D val="0"/>
            <c:spPr>
              <a:solidFill>
                <a:srgbClr val="7B61FF"/>
              </a:solidFill>
              <a:ln>
                <a:solidFill>
                  <a:srgbClr val="7B61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16-44E5-9914-1184E3CFE9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[Data_Intelligence_Dashboard.xlsx]Dash_Calc!$K$7:$K$9</c:f>
              <c:numCache>
                <c:formatCode>"$"#,##0</c:formatCode>
                <c:ptCount val="3"/>
                <c:pt idx="0">
                  <c:v>62177.81</c:v>
                </c:pt>
                <c:pt idx="1">
                  <c:v>82357.539999999994</c:v>
                </c:pt>
                <c:pt idx="2">
                  <c:v>84657.12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[Data_Intelligence_Dashboard.xlsx]Dash_Calc!$K$6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[Data_Intelligence_Dashboard.xlsx]Dash_Calc!$J$7:$J$9</c15:sqref>
                        </c15:formulaRef>
                      </c:ext>
                    </c:extLst>
                    <c:strCache>
                      <c:ptCount val="3"/>
                      <c:pt idx="0">
                        <c:v>Basic</c:v>
                      </c:pt>
                      <c:pt idx="1">
                        <c:v>Standard</c:v>
                      </c:pt>
                      <c:pt idx="2">
                        <c:v>Premium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16-44E5-9914-1184E3CFE9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c000057-4b24-4c17-8590-2c4bf22cd01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Monthly Revenue vs Month # (linear trend)</a:t>
            </a:r>
          </a:p>
        </c:rich>
      </c:tx>
      <c:layout>
        <c:manualLayout>
          <c:xMode val="edge"/>
          <c:yMode val="edge"/>
          <c:x val="0.1680000000000000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Regression!$C$5</c:f>
              <c:strCache>
                <c:ptCount val="1"/>
                <c:pt idx="0">
                  <c:v>Y (Revenue)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Regression!$B$6:$B$16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Regression!$C$6:$C$16</c:f>
              <c:numCache>
                <c:formatCode>"$"#,##0</c:formatCode>
                <c:ptCount val="11"/>
                <c:pt idx="0">
                  <c:v>17039.349999999999</c:v>
                </c:pt>
                <c:pt idx="1">
                  <c:v>19299.45</c:v>
                </c:pt>
                <c:pt idx="2">
                  <c:v>18479.400000000001</c:v>
                </c:pt>
                <c:pt idx="3">
                  <c:v>15759.43</c:v>
                </c:pt>
                <c:pt idx="4">
                  <c:v>12989.51</c:v>
                </c:pt>
                <c:pt idx="5">
                  <c:v>20609.52</c:v>
                </c:pt>
                <c:pt idx="6">
                  <c:v>12309.44</c:v>
                </c:pt>
                <c:pt idx="7">
                  <c:v>23039.3</c:v>
                </c:pt>
                <c:pt idx="8">
                  <c:v>25799.15</c:v>
                </c:pt>
                <c:pt idx="9">
                  <c:v>16069.38</c:v>
                </c:pt>
                <c:pt idx="10">
                  <c:v>19899.38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D-4C42-A2E4-8F290D120430}"/>
            </c:ext>
          </c:extLst>
        </c:ser>
        <c:ser>
          <c:idx val="1"/>
          <c:order val="1"/>
          <c:tx>
            <c:strRef>
              <c:f>Regression!$D$5</c:f>
              <c:strCache>
                <c:ptCount val="1"/>
                <c:pt idx="0">
                  <c:v>Predicted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Regression!$B$6:$B$16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Regression!$D$6:$D$16</c:f>
              <c:numCache>
                <c:formatCode>"$"#,##0</c:formatCode>
                <c:ptCount val="11"/>
                <c:pt idx="0">
                  <c:v>16607.628636363635</c:v>
                </c:pt>
                <c:pt idx="1">
                  <c:v>16945.981272727273</c:v>
                </c:pt>
                <c:pt idx="2">
                  <c:v>17284.33390909091</c:v>
                </c:pt>
                <c:pt idx="3">
                  <c:v>17622.686545454544</c:v>
                </c:pt>
                <c:pt idx="4">
                  <c:v>17961.039181818182</c:v>
                </c:pt>
                <c:pt idx="5">
                  <c:v>18299.391818181819</c:v>
                </c:pt>
                <c:pt idx="6">
                  <c:v>18637.744454545456</c:v>
                </c:pt>
                <c:pt idx="7">
                  <c:v>18976.09709090909</c:v>
                </c:pt>
                <c:pt idx="8">
                  <c:v>19314.449727272728</c:v>
                </c:pt>
                <c:pt idx="9">
                  <c:v>19652.802363636365</c:v>
                </c:pt>
                <c:pt idx="10">
                  <c:v>19991.155000000002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DD-4C42-A2E4-8F290D120430}"/>
            </c:ext>
          </c:extLst>
        </c:ser>
        <c:ser>
          <c:idx val="2"/>
          <c:order val="2"/>
          <c:tx>
            <c:strRef>
              <c:f>Regression!$E$5</c:f>
              <c:strCache>
                <c:ptCount val="1"/>
                <c:pt idx="0">
                  <c:v>Residual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Regression!$B$6:$B$16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Regression!$E$6:$E$16</c:f>
              <c:numCache>
                <c:formatCode>"$"#,##0;[Red]\-"$"#,##0</c:formatCode>
                <c:ptCount val="11"/>
                <c:pt idx="0">
                  <c:v>431.72136363636309</c:v>
                </c:pt>
                <c:pt idx="1">
                  <c:v>2353.4687272727278</c:v>
                </c:pt>
                <c:pt idx="2">
                  <c:v>1195.0660909090911</c:v>
                </c:pt>
                <c:pt idx="3">
                  <c:v>-1863.2565454545438</c:v>
                </c:pt>
                <c:pt idx="4">
                  <c:v>-4971.5291818181813</c:v>
                </c:pt>
                <c:pt idx="5">
                  <c:v>2310.1281818181815</c:v>
                </c:pt>
                <c:pt idx="6">
                  <c:v>-6328.3044545454559</c:v>
                </c:pt>
                <c:pt idx="7">
                  <c:v>4063.2029090909091</c:v>
                </c:pt>
                <c:pt idx="8">
                  <c:v>6484.7002727272738</c:v>
                </c:pt>
                <c:pt idx="9">
                  <c:v>-3583.4223636363658</c:v>
                </c:pt>
                <c:pt idx="10">
                  <c:v>-91.775000000001455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DD-4C42-A2E4-8F290D120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989824"/>
        <c:axId val="905950800"/>
      </c:scatterChart>
      <c:valAx>
        <c:axId val="78398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50800"/>
        <c:crosses val="autoZero"/>
        <c:crossBetween val="midCat"/>
      </c:valAx>
      <c:valAx>
        <c:axId val="9059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898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1. Revenue by Product (Bar)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A6A6"/>
            </a:solidFill>
            <a:ln>
              <a:solidFill>
                <a:srgbClr val="00A6A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A6A6"/>
              </a:solidFill>
              <a:ln>
                <a:solidFill>
                  <a:srgbClr val="00A6A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B2-4772-87E7-CF8CE837B3EF}"/>
              </c:ext>
            </c:extLst>
          </c:dPt>
          <c:dPt>
            <c:idx val="1"/>
            <c:invertIfNegative val="0"/>
            <c:bubble3D val="0"/>
            <c:spPr>
              <a:solidFill>
                <a:srgbClr val="F28C28"/>
              </a:solidFill>
              <a:ln>
                <a:solidFill>
                  <a:srgbClr val="F28C2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B2-4772-87E7-CF8CE837B3EF}"/>
              </c:ext>
            </c:extLst>
          </c:dPt>
          <c:dPt>
            <c:idx val="2"/>
            <c:invertIfNegative val="0"/>
            <c:bubble3D val="0"/>
            <c:spPr>
              <a:solidFill>
                <a:srgbClr val="7B61FF"/>
              </a:solidFill>
              <a:ln>
                <a:solidFill>
                  <a:srgbClr val="7B61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6B2-4772-87E7-CF8CE837B3EF}"/>
              </c:ext>
            </c:extLst>
          </c:dPt>
          <c:dPt>
            <c:idx val="3"/>
            <c:invertIfNegative val="0"/>
            <c:bubble3D val="0"/>
            <c:spPr>
              <a:solidFill>
                <a:srgbClr val="EF5B5B"/>
              </a:solidFill>
              <a:ln>
                <a:solidFill>
                  <a:srgbClr val="EF5B5B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6B2-4772-87E7-CF8CE837B3EF}"/>
              </c:ext>
            </c:extLst>
          </c:dPt>
          <c:dPt>
            <c:idx val="4"/>
            <c:invertIfNegative val="0"/>
            <c:bubble3D val="0"/>
            <c:spPr>
              <a:solidFill>
                <a:srgbClr val="2EAD6D"/>
              </a:solidFill>
              <a:ln>
                <a:solidFill>
                  <a:srgbClr val="2EAD6D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6B2-4772-87E7-CF8CE837B3EF}"/>
              </c:ext>
            </c:extLst>
          </c:dPt>
          <c:dPt>
            <c:idx val="5"/>
            <c:invertIfNegative val="0"/>
            <c:bubble3D val="0"/>
            <c:spPr>
              <a:solidFill>
                <a:srgbClr val="F2B705"/>
              </a:solidFill>
              <a:ln>
                <a:solidFill>
                  <a:srgbClr val="F2B70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6B2-4772-87E7-CF8CE837B3EF}"/>
              </c:ext>
            </c:extLst>
          </c:dPt>
          <c:dPt>
            <c:idx val="6"/>
            <c:invertIfNegative val="0"/>
            <c:bubble3D val="0"/>
            <c:spPr>
              <a:solidFill>
                <a:srgbClr val="3B82F6"/>
              </a:solidFill>
              <a:ln>
                <a:solidFill>
                  <a:srgbClr val="3B82F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6B2-4772-87E7-CF8CE837B3EF}"/>
              </c:ext>
            </c:extLst>
          </c:dPt>
          <c:dPt>
            <c:idx val="7"/>
            <c:invertIfNegative val="0"/>
            <c:bubble3D val="0"/>
            <c:spPr>
              <a:solidFill>
                <a:srgbClr val="EC4899"/>
              </a:solidFill>
              <a:ln>
                <a:solidFill>
                  <a:srgbClr val="EC4899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6B2-4772-87E7-CF8CE837B3EF}"/>
              </c:ext>
            </c:extLst>
          </c:dPt>
          <c:dPt>
            <c:idx val="8"/>
            <c:invertIfNegative val="0"/>
            <c:bubble3D val="0"/>
            <c:spPr>
              <a:solidFill>
                <a:srgbClr val="14B8A6"/>
              </a:solidFill>
              <a:ln>
                <a:solidFill>
                  <a:srgbClr val="14B8A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6B2-4772-87E7-CF8CE837B3EF}"/>
              </c:ext>
            </c:extLst>
          </c:dPt>
          <c:dPt>
            <c:idx val="9"/>
            <c:invertIfNegative val="0"/>
            <c:bubble3D val="0"/>
            <c:spPr>
              <a:solidFill>
                <a:srgbClr val="8B5CF6"/>
              </a:solidFill>
              <a:ln>
                <a:solidFill>
                  <a:srgbClr val="8B5CF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6B2-4772-87E7-CF8CE837B3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[Data_Intelligence_Dashboard.xlsx]Analysis!$G$57:$G$66</c:f>
              <c:numCache>
                <c:formatCode>"$"#,##0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23399.22</c:v>
                </c:pt>
                <c:pt idx="3">
                  <c:v>21999.119999999999</c:v>
                </c:pt>
                <c:pt idx="4">
                  <c:v>15298.98</c:v>
                </c:pt>
                <c:pt idx="5">
                  <c:v>10399.48</c:v>
                </c:pt>
                <c:pt idx="6">
                  <c:v>8009.11</c:v>
                </c:pt>
                <c:pt idx="7">
                  <c:v>7049.53</c:v>
                </c:pt>
                <c:pt idx="8">
                  <c:v>5219.13</c:v>
                </c:pt>
                <c:pt idx="9">
                  <c:v>3119.61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[Data_Intelligence_Dashboard.xlsx]Analysis!$G$56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[Data_Intelligence_Dashboard.xlsx]Analysis!$B$57:$B$66</c15:sqref>
                        </c15:formulaRef>
                      </c:ext>
                    </c:extLst>
                    <c:strCache>
                      <c:ptCount val="10"/>
                      <c:pt idx="0">
                        <c:v>Laptop</c:v>
                      </c:pt>
                      <c:pt idx="1">
                        <c:v>Smartphone</c:v>
                      </c:pt>
                      <c:pt idx="2">
                        <c:v>Desk</c:v>
                      </c:pt>
                      <c:pt idx="3">
                        <c:v>Monitor</c:v>
                      </c:pt>
                      <c:pt idx="4">
                        <c:v>Bookshelf</c:v>
                      </c:pt>
                      <c:pt idx="5">
                        <c:v>Office Chair</c:v>
                      </c:pt>
                      <c:pt idx="6">
                        <c:v>Keyboard</c:v>
                      </c:pt>
                      <c:pt idx="7">
                        <c:v>Headphones</c:v>
                      </c:pt>
                      <c:pt idx="8">
                        <c:v>Blender</c:v>
                      </c:pt>
                      <c:pt idx="9">
                        <c:v>Coffee Maker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06B2-4772-87E7-CF8CE837B3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t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655ef3-ae54-40c2-bf2b-a667ab30bd4e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2. Revenue by Category (Pie)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00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26-4839-8A03-F8E606438D57}"/>
              </c:ext>
            </c:extLst>
          </c:dPt>
          <c:dPt>
            <c:idx val="1"/>
            <c:bubble3D val="0"/>
            <c:spPr>
              <a:solidFill>
                <a:srgbClr val="F28C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26-4839-8A03-F8E606438D57}"/>
              </c:ext>
            </c:extLst>
          </c:dPt>
          <c:dPt>
            <c:idx val="2"/>
            <c:bubble3D val="0"/>
            <c:spPr>
              <a:solidFill>
                <a:srgbClr val="7B61F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F26-4839-8A03-F8E606438D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[Data_Intelligence_Dashboard.xlsx]Analysis!$B$22:$B$24</c:f>
              <c:numCache>
                <c:formatCode>"$"#,##0</c:formatCode>
                <c:ptCount val="3"/>
                <c:pt idx="0">
                  <c:v>171756.05</c:v>
                </c:pt>
                <c:pt idx="1">
                  <c:v>49097.68</c:v>
                </c:pt>
                <c:pt idx="2">
                  <c:v>8338.74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[Data_Intelligence_Dashboard.xlsx]Analysis!$B$21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[Data_Intelligence_Dashboard.xlsx]Analysis!$A$22:$A$24</c15:sqref>
                        </c15:formulaRef>
                      </c:ext>
                    </c:extLst>
                    <c:strCache>
                      <c:ptCount val="3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Appliances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F26-4839-8A03-F8E606438D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d3d2eb-5bc1-49e4-96d8-3a82f9baedd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3. Monthly Revenue Trend (Line + trendline)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2000" cap="rnd" cmpd="sng" algn="ctr">
              <a:solidFill>
                <a:srgbClr val="7B61FF"/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7B61FF"/>
              </a:solidFill>
              <a:ln w="9525" cap="flat" cmpd="sng" algn="ctr">
                <a:solidFill>
                  <a:srgbClr val="FFFFFF"/>
                </a:solidFill>
                <a:prstDash val="solid"/>
                <a:round/>
              </a:ln>
            </c:spPr>
          </c:marker>
          <c:trendline>
            <c:trendlineType val="linear"/>
            <c:dispRSqr val="0"/>
            <c:dispEq val="0"/>
          </c:trendline>
          <c:val>
            <c:numRef>
              <c:f>[Data_Intelligence_Dashboard.xlsx]Analysis!$C$72:$C$84</c:f>
              <c:numCache>
                <c:formatCode>"$"#,##0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18479.400000000001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[Data_Intelligence_Dashboard.xlsx]Analysis!$C$71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[Data_Intelligence_Dashboard.xlsx]Analysis!$B$72:$B$84</c15:sqref>
                        </c15:formulaRef>
                      </c:ext>
                    </c:extLst>
                    <c:strCache>
                      <c:ptCount val="13"/>
                      <c:pt idx="0">
                        <c:v>Apr-24</c:v>
                      </c:pt>
                      <c:pt idx="1">
                        <c:v>May-24</c:v>
                      </c:pt>
                      <c:pt idx="2">
                        <c:v>Jun-24</c:v>
                      </c:pt>
                      <c:pt idx="3">
                        <c:v>Jul-24</c:v>
                      </c:pt>
                      <c:pt idx="4">
                        <c:v>Aug-24</c:v>
                      </c:pt>
                      <c:pt idx="5">
                        <c:v>Sep-24</c:v>
                      </c:pt>
                      <c:pt idx="6">
                        <c:v>Oct-24</c:v>
                      </c:pt>
                      <c:pt idx="7">
                        <c:v>Nov-24</c:v>
                      </c:pt>
                      <c:pt idx="8">
                        <c:v>Dec-24</c:v>
                      </c:pt>
                      <c:pt idx="9">
                        <c:v>Jan-25</c:v>
                      </c:pt>
                      <c:pt idx="10">
                        <c:v>Feb-25</c:v>
                      </c:pt>
                      <c:pt idx="11">
                        <c:v>Mar-25</c:v>
                      </c:pt>
                      <c:pt idx="12">
                        <c:v>Apr-25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93B-4C84-9170-62D3A11A9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766d64-83a4-4c54-b866-7e1ed3158c46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4. Revenue by Region (Column)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A6A6"/>
            </a:solidFill>
            <a:ln>
              <a:solidFill>
                <a:srgbClr val="00A6A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EF7-4D9C-883A-F30935A9E8B5}"/>
              </c:ext>
            </c:extLst>
          </c:dPt>
          <c:dPt>
            <c:idx val="1"/>
            <c:invertIfNegative val="0"/>
            <c:bubble3D val="0"/>
            <c:spPr>
              <a:solidFill>
                <a:srgbClr val="F28C28"/>
              </a:solidFill>
              <a:ln>
                <a:solidFill>
                  <a:srgbClr val="F28C2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F7-4D9C-883A-F30935A9E8B5}"/>
              </c:ext>
            </c:extLst>
          </c:dPt>
          <c:dPt>
            <c:idx val="2"/>
            <c:invertIfNegative val="0"/>
            <c:bubble3D val="0"/>
            <c:spPr>
              <a:solidFill>
                <a:srgbClr val="7B61FF"/>
              </a:solidFill>
              <a:ln>
                <a:solidFill>
                  <a:srgbClr val="7B61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F7-4D9C-883A-F30935A9E8B5}"/>
              </c:ext>
            </c:extLst>
          </c:dPt>
          <c:dPt>
            <c:idx val="3"/>
            <c:invertIfNegative val="0"/>
            <c:bubble3D val="0"/>
            <c:spPr>
              <a:solidFill>
                <a:srgbClr val="EF5B5B"/>
              </a:solidFill>
              <a:ln>
                <a:solidFill>
                  <a:srgbClr val="EF5B5B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F7-4D9C-883A-F30935A9E8B5}"/>
              </c:ext>
            </c:extLst>
          </c:dPt>
          <c:dPt>
            <c:idx val="4"/>
            <c:invertIfNegative val="0"/>
            <c:bubble3D val="0"/>
            <c:spPr>
              <a:solidFill>
                <a:srgbClr val="2EAD6D"/>
              </a:solidFill>
              <a:ln>
                <a:solidFill>
                  <a:srgbClr val="2EAD6D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F7-4D9C-883A-F30935A9E8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[Data_Intelligence_Dashboard.xlsx]Analysis!$B$30:$B$34</c:f>
              <c:numCache>
                <c:formatCode>"$"#,##0</c:formatCode>
                <c:ptCount val="5"/>
                <c:pt idx="0">
                  <c:v>59288.39</c:v>
                </c:pt>
                <c:pt idx="1">
                  <c:v>50808.31</c:v>
                </c:pt>
                <c:pt idx="2">
                  <c:v>41408.68</c:v>
                </c:pt>
                <c:pt idx="3">
                  <c:v>41288.339999999997</c:v>
                </c:pt>
                <c:pt idx="4">
                  <c:v>36398.75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[Data_Intelligence_Dashboard.xlsx]Analysis!$B$29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[Data_Intelligence_Dashboard.xlsx]Analysis!$A$30:$A$34</c15:sqref>
                        </c15:formulaRef>
                      </c:ext>
                    </c:extLst>
                    <c:strCache>
                      <c:ptCount val="5"/>
                      <c:pt idx="0">
                        <c:v>East</c:v>
                      </c:pt>
                      <c:pt idx="1">
                        <c:v>North</c:v>
                      </c:pt>
                      <c:pt idx="2">
                        <c:v>West</c:v>
                      </c:pt>
                      <c:pt idx="3">
                        <c:v>Central</c:v>
                      </c:pt>
                      <c:pt idx="4">
                        <c:v>South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EF7-4D9C-883A-F30935A9E8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7e0df3f-cff9-49cb-ab11-23dc83b96bbf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5. Payment Method Share (Doughnut)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00A6A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57-49DA-92D9-7BFBBFE8BB48}"/>
              </c:ext>
            </c:extLst>
          </c:dPt>
          <c:dPt>
            <c:idx val="1"/>
            <c:bubble3D val="0"/>
            <c:spPr>
              <a:solidFill>
                <a:srgbClr val="F28C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57-49DA-92D9-7BFBBFE8BB48}"/>
              </c:ext>
            </c:extLst>
          </c:dPt>
          <c:dPt>
            <c:idx val="2"/>
            <c:bubble3D val="0"/>
            <c:spPr>
              <a:solidFill>
                <a:srgbClr val="7B61F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57-49DA-92D9-7BFBBFE8BB48}"/>
              </c:ext>
            </c:extLst>
          </c:dPt>
          <c:dPt>
            <c:idx val="3"/>
            <c:bubble3D val="0"/>
            <c:spPr>
              <a:solidFill>
                <a:srgbClr val="EF5B5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957-49DA-92D9-7BFBBFE8BB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[Data_Intelligence_Dashboard.xlsx]Analysis!$B$40:$B$43</c:f>
              <c:numCache>
                <c:formatCode>"$"#,##0</c:formatCode>
                <c:ptCount val="4"/>
                <c:pt idx="0">
                  <c:v>61447.96</c:v>
                </c:pt>
                <c:pt idx="1">
                  <c:v>58198.41</c:v>
                </c:pt>
                <c:pt idx="2">
                  <c:v>57427.79</c:v>
                </c:pt>
                <c:pt idx="3">
                  <c:v>52118.31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[Data_Intelligence_Dashboard.xlsx]Analysis!$B$39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[Data_Intelligence_Dashboard.xlsx]Analysis!$A$40:$A$43</c15:sqref>
                        </c15:formulaRef>
                      </c:ext>
                    </c:extLst>
                    <c:strCache>
                      <c:ptCount val="4"/>
                      <c:pt idx="0">
                        <c:v>Credit Card</c:v>
                      </c:pt>
                      <c:pt idx="1">
                        <c:v>PayPal</c:v>
                      </c:pt>
                      <c:pt idx="2">
                        <c:v>Cash</c:v>
                      </c:pt>
                      <c:pt idx="3">
                        <c:v>Debit Card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957-49DA-92D9-7BFBBFE8BB4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9311d0-3b8d-48d5-a1d0-917da0fcb60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6. Revenue by Customer Segment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A6A6"/>
            </a:solidFill>
            <a:ln>
              <a:solidFill>
                <a:srgbClr val="00A6A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1FD-40DB-80A9-484F0D38B774}"/>
              </c:ext>
            </c:extLst>
          </c:dPt>
          <c:dPt>
            <c:idx val="1"/>
            <c:invertIfNegative val="0"/>
            <c:bubble3D val="0"/>
            <c:spPr>
              <a:solidFill>
                <a:srgbClr val="F28C28"/>
              </a:solidFill>
              <a:ln>
                <a:solidFill>
                  <a:srgbClr val="F28C2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FD-40DB-80A9-484F0D38B774}"/>
              </c:ext>
            </c:extLst>
          </c:dPt>
          <c:dPt>
            <c:idx val="2"/>
            <c:invertIfNegative val="0"/>
            <c:bubble3D val="0"/>
            <c:spPr>
              <a:solidFill>
                <a:srgbClr val="7B61FF"/>
              </a:solidFill>
              <a:ln>
                <a:solidFill>
                  <a:srgbClr val="7B61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FD-40DB-80A9-484F0D38B7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[Data_Intelligence_Dashboard.xlsx]Analysis!$B$49:$B$51</c:f>
              <c:numCache>
                <c:formatCode>"$"#,##0</c:formatCode>
                <c:ptCount val="3"/>
                <c:pt idx="0">
                  <c:v>62177.81</c:v>
                </c:pt>
                <c:pt idx="1">
                  <c:v>82357.539999999994</c:v>
                </c:pt>
                <c:pt idx="2">
                  <c:v>84657.12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[Data_Intelligence_Dashboard.xlsx]Analysis!$B$48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[Data_Intelligence_Dashboard.xlsx]Analysis!$A$49:$A$51</c15:sqref>
                        </c15:formulaRef>
                      </c:ext>
                    </c:extLst>
                    <c:strCache>
                      <c:ptCount val="3"/>
                      <c:pt idx="0">
                        <c:v>Basic</c:v>
                      </c:pt>
                      <c:pt idx="1">
                        <c:v>Standard</c:v>
                      </c:pt>
                      <c:pt idx="2">
                        <c:v>Premium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1FD-40DB-80A9-484F0D38B7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0a75a38-2aca-4ad9-91c3-bc2a881fd906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7. Top 10 Customers by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28C28"/>
            </a:solidFill>
            <a:ln>
              <a:solidFill>
                <a:srgbClr val="F28C28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[Data_Intelligence_Dashboard.xlsx]Customers!$P$9:$P$18</c:f>
              <c:numCache>
                <c:formatCode>"$"#,##0</c:formatCode>
                <c:ptCount val="10"/>
                <c:pt idx="0">
                  <c:v>15659.65</c:v>
                </c:pt>
                <c:pt idx="1">
                  <c:v>11919.77</c:v>
                </c:pt>
                <c:pt idx="2">
                  <c:v>10649.8</c:v>
                </c:pt>
                <c:pt idx="3">
                  <c:v>9799.73</c:v>
                </c:pt>
                <c:pt idx="4">
                  <c:v>8309.74</c:v>
                </c:pt>
                <c:pt idx="5">
                  <c:v>8269.7900000000009</c:v>
                </c:pt>
                <c:pt idx="6">
                  <c:v>8009.77</c:v>
                </c:pt>
                <c:pt idx="7">
                  <c:v>7309.8</c:v>
                </c:pt>
                <c:pt idx="8">
                  <c:v>6989.77</c:v>
                </c:pt>
                <c:pt idx="9">
                  <c:v>6949.84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[Data_Intelligence_Dashboard.xlsx]Customers!$P$8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[Data_Intelligence_Dashboard.xlsx]Customers!$O$9:$O$18</c15:sqref>
                        </c15:formulaRef>
                      </c:ext>
                    </c:extLst>
                    <c:strCache>
                      <c:ptCount val="10"/>
                      <c:pt idx="0">
                        <c:v>Mark Carter</c:v>
                      </c:pt>
                      <c:pt idx="1">
                        <c:v>Edward Mitchell</c:v>
                      </c:pt>
                      <c:pt idx="2">
                        <c:v>Barbara Young</c:v>
                      </c:pt>
                      <c:pt idx="3">
                        <c:v>Patricia Moore</c:v>
                      </c:pt>
                      <c:pt idx="4">
                        <c:v>Paul Baker</c:v>
                      </c:pt>
                      <c:pt idx="5">
                        <c:v>Dorothy Nelson</c:v>
                      </c:pt>
                      <c:pt idx="6">
                        <c:v>Karen Hill</c:v>
                      </c:pt>
                      <c:pt idx="7">
                        <c:v>Daniel King</c:v>
                      </c:pt>
                      <c:pt idx="8">
                        <c:v>Lawrence Reed</c:v>
                      </c:pt>
                      <c:pt idx="9">
                        <c:v>Joseph Jackson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897-4B10-81A6-3E67BA64BB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t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0cdca85-0848-4de2-a985-ac648df4651f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8. Category x Region (Stacked Column)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East</c:v>
          </c:tx>
          <c:spPr>
            <a:solidFill>
              <a:srgbClr val="00A6A6"/>
            </a:solidFill>
            <a:ln>
              <a:noFill/>
              <a:prstDash val="solid"/>
            </a:ln>
          </c:spPr>
          <c:invertIfNegative val="0"/>
          <c:val>
            <c:numRef>
              <c:f>[Data_Intelligence_Dashboard.xlsx]Analysis!$B$90:$B$92</c:f>
              <c:numCache>
                <c:formatCode>"$"#,##0</c:formatCode>
                <c:ptCount val="3"/>
                <c:pt idx="0">
                  <c:v>50649.01</c:v>
                </c:pt>
                <c:pt idx="1">
                  <c:v>6399.71</c:v>
                </c:pt>
                <c:pt idx="2">
                  <c:v>2239.67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[Data_Intelligence_Dashboard.xlsx]Analysis!$A$90:$A$92</c15:sqref>
                        </c15:formulaRef>
                      </c:ext>
                    </c:extLst>
                    <c:strCache>
                      <c:ptCount val="3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Appliances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D96-423B-AB75-4B97BFDA7E4A}"/>
            </c:ext>
          </c:extLst>
        </c:ser>
        <c:ser>
          <c:idx val="1"/>
          <c:order val="1"/>
          <c:tx>
            <c:v>North</c:v>
          </c:tx>
          <c:spPr>
            <a:solidFill>
              <a:srgbClr val="F28C28"/>
            </a:solidFill>
            <a:ln>
              <a:noFill/>
              <a:prstDash val="solid"/>
            </a:ln>
          </c:spPr>
          <c:invertIfNegative val="0"/>
          <c:val>
            <c:numRef>
              <c:f>[Data_Intelligence_Dashboard.xlsx]Analysis!$C$90:$C$92</c:f>
              <c:numCache>
                <c:formatCode>"$"#,##0</c:formatCode>
                <c:ptCount val="3"/>
                <c:pt idx="0">
                  <c:v>39239.040000000001</c:v>
                </c:pt>
                <c:pt idx="1">
                  <c:v>10449.43</c:v>
                </c:pt>
                <c:pt idx="2">
                  <c:v>1119.8399999999999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[Data_Intelligence_Dashboard.xlsx]Analysis!$A$90:$A$92</c15:sqref>
                        </c15:formulaRef>
                      </c:ext>
                    </c:extLst>
                    <c:strCache>
                      <c:ptCount val="3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Appliances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D96-423B-AB75-4B97BFDA7E4A}"/>
            </c:ext>
          </c:extLst>
        </c:ser>
        <c:ser>
          <c:idx val="2"/>
          <c:order val="2"/>
          <c:tx>
            <c:v>West</c:v>
          </c:tx>
          <c:spPr>
            <a:solidFill>
              <a:srgbClr val="7B61FF"/>
            </a:solidFill>
            <a:ln>
              <a:noFill/>
              <a:prstDash val="solid"/>
            </a:ln>
          </c:spPr>
          <c:invertIfNegative val="0"/>
          <c:val>
            <c:numRef>
              <c:f>[Data_Intelligence_Dashboard.xlsx]Analysis!$D$90:$D$92</c:f>
              <c:numCache>
                <c:formatCode>"$"#,##0</c:formatCode>
                <c:ptCount val="3"/>
                <c:pt idx="0">
                  <c:v>31429.35</c:v>
                </c:pt>
                <c:pt idx="1">
                  <c:v>8099.64</c:v>
                </c:pt>
                <c:pt idx="2">
                  <c:v>1879.69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[Data_Intelligence_Dashboard.xlsx]Analysis!$A$90:$A$92</c15:sqref>
                        </c15:formulaRef>
                      </c:ext>
                    </c:extLst>
                    <c:strCache>
                      <c:ptCount val="3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Appliances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D96-423B-AB75-4B97BFDA7E4A}"/>
            </c:ext>
          </c:extLst>
        </c:ser>
        <c:ser>
          <c:idx val="3"/>
          <c:order val="3"/>
          <c:tx>
            <c:v>Central</c:v>
          </c:tx>
          <c:spPr>
            <a:solidFill>
              <a:srgbClr val="EF5B5B"/>
            </a:solidFill>
            <a:ln>
              <a:noFill/>
              <a:prstDash val="solid"/>
            </a:ln>
          </c:spPr>
          <c:invertIfNegative val="0"/>
          <c:val>
            <c:numRef>
              <c:f>[Data_Intelligence_Dashboard.xlsx]Analysis!$E$90:$E$92</c:f>
              <c:numCache>
                <c:formatCode>"$"#,##0</c:formatCode>
                <c:ptCount val="3"/>
                <c:pt idx="0">
                  <c:v>24889.33</c:v>
                </c:pt>
                <c:pt idx="1">
                  <c:v>14399.3</c:v>
                </c:pt>
                <c:pt idx="2">
                  <c:v>1999.71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[Data_Intelligence_Dashboard.xlsx]Analysis!$A$90:$A$92</c15:sqref>
                        </c15:formulaRef>
                      </c:ext>
                    </c:extLst>
                    <c:strCache>
                      <c:ptCount val="3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Appliances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D96-423B-AB75-4B97BFDA7E4A}"/>
            </c:ext>
          </c:extLst>
        </c:ser>
        <c:ser>
          <c:idx val="4"/>
          <c:order val="4"/>
          <c:tx>
            <c:v>South</c:v>
          </c:tx>
          <c:spPr>
            <a:solidFill>
              <a:srgbClr val="2EAD6D"/>
            </a:solidFill>
            <a:ln>
              <a:noFill/>
              <a:prstDash val="solid"/>
            </a:ln>
          </c:spPr>
          <c:invertIfNegative val="0"/>
          <c:val>
            <c:numRef>
              <c:f>[Data_Intelligence_Dashboard.xlsx]Analysis!$F$90:$F$92</c:f>
              <c:numCache>
                <c:formatCode>"$"#,##0</c:formatCode>
                <c:ptCount val="3"/>
                <c:pt idx="0">
                  <c:v>25549.32</c:v>
                </c:pt>
                <c:pt idx="1">
                  <c:v>9749.6</c:v>
                </c:pt>
                <c:pt idx="2">
                  <c:v>1099.83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[Data_Intelligence_Dashboard.xlsx]Analysis!$A$90:$A$92</c15:sqref>
                        </c15:formulaRef>
                      </c:ext>
                    </c:extLst>
                    <c:strCache>
                      <c:ptCount val="3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Appliances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D96-423B-AB75-4B97BFDA7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b3c41c-6c35-4a2e-9070-385973671dce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9. Units Sold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AD6D"/>
            </a:solidFill>
            <a:ln>
              <a:solidFill>
                <a:srgbClr val="2EAD6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[Data_Intelligence_Dashboard.xlsx]Analysis!$E$57:$E$66</c:f>
              <c:numCache>
                <c:formatCode>#,##0</c:formatCode>
                <c:ptCount val="10"/>
                <c:pt idx="0">
                  <c:v>75</c:v>
                </c:pt>
                <c:pt idx="1">
                  <c:v>96</c:v>
                </c:pt>
                <c:pt idx="2">
                  <c:v>78</c:v>
                </c:pt>
                <c:pt idx="3">
                  <c:v>88</c:v>
                </c:pt>
                <c:pt idx="4">
                  <c:v>102</c:v>
                </c:pt>
                <c:pt idx="5">
                  <c:v>52</c:v>
                </c:pt>
                <c:pt idx="6">
                  <c:v>89</c:v>
                </c:pt>
                <c:pt idx="7">
                  <c:v>47</c:v>
                </c:pt>
                <c:pt idx="8">
                  <c:v>87</c:v>
                </c:pt>
                <c:pt idx="9">
                  <c:v>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[Data_Intelligence_Dashboard.xlsx]Analysis!$E$56</c15:sqref>
                        </c15:formulaRef>
                      </c:ext>
                    </c:extLst>
                    <c:strCache>
                      <c:ptCount val="1"/>
                      <c:pt idx="0">
                        <c:v>Units Sold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[Data_Intelligence_Dashboard.xlsx]Analysis!$B$57:$B$66</c15:sqref>
                        </c15:formulaRef>
                      </c:ext>
                    </c:extLst>
                    <c:strCache>
                      <c:ptCount val="10"/>
                      <c:pt idx="0">
                        <c:v>Laptop</c:v>
                      </c:pt>
                      <c:pt idx="1">
                        <c:v>Smartphone</c:v>
                      </c:pt>
                      <c:pt idx="2">
                        <c:v>Desk</c:v>
                      </c:pt>
                      <c:pt idx="3">
                        <c:v>Monitor</c:v>
                      </c:pt>
                      <c:pt idx="4">
                        <c:v>Bookshelf</c:v>
                      </c:pt>
                      <c:pt idx="5">
                        <c:v>Office Chair</c:v>
                      </c:pt>
                      <c:pt idx="6">
                        <c:v>Keyboard</c:v>
                      </c:pt>
                      <c:pt idx="7">
                        <c:v>Headphones</c:v>
                      </c:pt>
                      <c:pt idx="8">
                        <c:v>Blender</c:v>
                      </c:pt>
                      <c:pt idx="9">
                        <c:v>Coffee Maker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3B3-466B-9B0E-47F3BF79D9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90d04d0-385f-4369-b7b8-bf11d029d22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13</xdr:col>
      <xdr:colOff>28575</xdr:colOff>
      <xdr:row>26</xdr:row>
      <xdr:rowOff>93980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87A99-0CA7-460A-B4C7-FAFFBE678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63500</xdr:colOff>
      <xdr:row>10</xdr:row>
      <xdr:rowOff>174625</xdr:rowOff>
    </xdr:from>
    <xdr:to>
      <xdr:col>23</xdr:col>
      <xdr:colOff>460375</xdr:colOff>
      <xdr:row>26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C404B-903F-B29A-7D08-3DB75E13C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8</xdr:col>
      <xdr:colOff>313055</xdr:colOff>
      <xdr:row>41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8A6A48-ADA8-58EB-C426-C0281CC1A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349250</xdr:colOff>
      <xdr:row>28</xdr:row>
      <xdr:rowOff>15875</xdr:rowOff>
    </xdr:from>
    <xdr:to>
      <xdr:col>16</xdr:col>
      <xdr:colOff>59055</xdr:colOff>
      <xdr:row>41</xdr:row>
      <xdr:rowOff>168275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E5026B-D273-9A0E-2487-0FF98608B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63500</xdr:colOff>
      <xdr:row>28</xdr:row>
      <xdr:rowOff>0</xdr:rowOff>
    </xdr:from>
    <xdr:to>
      <xdr:col>23</xdr:col>
      <xdr:colOff>376555</xdr:colOff>
      <xdr:row>41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A890AD-6852-5C6E-3A2A-334730159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313055</xdr:colOff>
      <xdr:row>56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324BDF-C468-8C3F-5EE7-4490BA385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27</xdr:row>
      <xdr:rowOff>0</xdr:rowOff>
    </xdr:from>
    <xdr:to>
      <xdr:col>7</xdr:col>
      <xdr:colOff>358140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851587-C237-B66E-18FC-222CA0CD5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203835</xdr:colOff>
      <xdr:row>19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1F44C-461E-B06E-A4D1-E0B69CF0A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21</xdr:col>
      <xdr:colOff>203835</xdr:colOff>
      <xdr:row>19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D9D2E8-8B57-88B0-59D4-D6E1F5534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203835</xdr:colOff>
      <xdr:row>37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E3756A-BC82-A09E-777E-708B1EE6E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21</xdr:col>
      <xdr:colOff>203835</xdr:colOff>
      <xdr:row>37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FFADB8-B3B8-C614-D5BE-7161800F6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10</xdr:col>
      <xdr:colOff>203835</xdr:colOff>
      <xdr:row>55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9F7CD7-2152-9C74-57D6-E79292653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21</xdr:col>
      <xdr:colOff>203835</xdr:colOff>
      <xdr:row>55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9444BB-9A92-0A87-7AF7-8E8791195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10</xdr:col>
      <xdr:colOff>203835</xdr:colOff>
      <xdr:row>73</xdr:row>
      <xdr:rowOff>11430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D58150-2914-7F06-CA0B-847BA23EB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21</xdr:col>
      <xdr:colOff>203835</xdr:colOff>
      <xdr:row>73</xdr:row>
      <xdr:rowOff>11430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CD1315F-2E9B-1731-302C-0C2F23338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75</xdr:row>
      <xdr:rowOff>0</xdr:rowOff>
    </xdr:from>
    <xdr:to>
      <xdr:col>10</xdr:col>
      <xdr:colOff>203835</xdr:colOff>
      <xdr:row>91</xdr:row>
      <xdr:rowOff>11430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E8D5D1-F5C3-5DA7-C26D-EF660DB03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_Intelligence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ession"/>
      <sheetName val="Dash_Calc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9AD0-4B33-4978-AB71-43B4E836F21A}">
  <dimension ref="A1:Y50"/>
  <sheetViews>
    <sheetView tabSelected="1" zoomScale="48" zoomScaleNormal="48" workbookViewId="0">
      <selection activeCell="W6" sqref="W6"/>
    </sheetView>
  </sheetViews>
  <sheetFormatPr defaultRowHeight="14.4"/>
  <cols>
    <col min="1" max="1" width="0.77734375" customWidth="1"/>
    <col min="8" max="8" width="8.88671875" customWidth="1"/>
    <col min="11" max="11" width="8.88671875" customWidth="1"/>
    <col min="15" max="16" width="8.88671875" customWidth="1"/>
  </cols>
  <sheetData>
    <row r="1" spans="1:25" s="1" customFormat="1" ht="14.4" customHeight="1">
      <c r="A1" s="2"/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s="1" customFormat="1" ht="14.4" customHeight="1">
      <c r="A2" s="2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5" s="1" customFormat="1">
      <c r="A3" s="2"/>
      <c r="B3" s="142" t="s">
        <v>727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</row>
    <row r="4" spans="1:25" s="1" customFormat="1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 s="1" customFormat="1" ht="24">
      <c r="A5" s="2"/>
      <c r="B5" s="3" t="s">
        <v>1</v>
      </c>
      <c r="C5" s="5" t="s">
        <v>2</v>
      </c>
      <c r="D5" s="6"/>
      <c r="E5" s="2"/>
      <c r="F5" s="3" t="s">
        <v>3</v>
      </c>
      <c r="G5" s="5" t="s">
        <v>2</v>
      </c>
      <c r="H5" s="6"/>
      <c r="I5" s="2"/>
      <c r="J5" s="3" t="s">
        <v>4</v>
      </c>
      <c r="K5" s="7">
        <v>45383</v>
      </c>
      <c r="L5" s="8"/>
      <c r="M5" s="2"/>
      <c r="N5" s="3" t="s">
        <v>5</v>
      </c>
      <c r="O5" s="7">
        <v>45777</v>
      </c>
      <c r="P5" s="8"/>
      <c r="Q5" s="143"/>
      <c r="R5" s="2"/>
      <c r="S5" s="2"/>
      <c r="T5" s="2"/>
      <c r="U5" s="2"/>
      <c r="V5" s="2"/>
      <c r="W5" s="2"/>
      <c r="X5" s="2"/>
      <c r="Y5" s="2"/>
    </row>
    <row r="6" spans="1:25" s="1" customFormat="1" ht="15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 s="1" customFormat="1" ht="15" customHeight="1" thickTop="1">
      <c r="A7" s="2"/>
      <c r="B7" s="9" t="s">
        <v>6</v>
      </c>
      <c r="C7" s="9"/>
      <c r="D7" s="9"/>
      <c r="E7" s="10" t="s">
        <v>7</v>
      </c>
      <c r="F7" s="10"/>
      <c r="G7" s="10"/>
      <c r="H7" s="11" t="s">
        <v>8</v>
      </c>
      <c r="I7" s="11"/>
      <c r="J7" s="11"/>
      <c r="K7" s="12" t="s">
        <v>9</v>
      </c>
      <c r="L7" s="12"/>
      <c r="M7" s="12"/>
      <c r="N7" s="13" t="s">
        <v>10</v>
      </c>
      <c r="O7" s="13"/>
      <c r="P7" s="13"/>
      <c r="Q7" s="2"/>
    </row>
    <row r="8" spans="1:25" s="1" customFormat="1" ht="14.4" customHeight="1">
      <c r="A8" s="2"/>
      <c r="B8" s="14">
        <v>229192.47</v>
      </c>
      <c r="C8" s="14"/>
      <c r="D8" s="14"/>
      <c r="E8" s="15">
        <v>250</v>
      </c>
      <c r="F8" s="15"/>
      <c r="G8" s="15"/>
      <c r="H8" s="16">
        <v>753</v>
      </c>
      <c r="I8" s="16"/>
      <c r="J8" s="16"/>
      <c r="K8" s="17">
        <f>IFERROR(B8/E8,0)</f>
        <v>916.76988000000006</v>
      </c>
      <c r="L8" s="17"/>
      <c r="M8" s="17"/>
      <c r="N8" s="18">
        <v>50</v>
      </c>
      <c r="O8" s="18"/>
      <c r="P8" s="18"/>
      <c r="Q8" s="2"/>
    </row>
    <row r="9" spans="1:25" s="1" customFormat="1" ht="14.4" customHeight="1">
      <c r="A9" s="2"/>
      <c r="B9" s="14"/>
      <c r="C9" s="14"/>
      <c r="D9" s="14"/>
      <c r="E9" s="15"/>
      <c r="F9" s="15"/>
      <c r="G9" s="15"/>
      <c r="H9" s="16"/>
      <c r="I9" s="16"/>
      <c r="J9" s="16"/>
      <c r="K9" s="17"/>
      <c r="L9" s="17"/>
      <c r="M9" s="17"/>
      <c r="N9" s="18"/>
      <c r="O9" s="18"/>
      <c r="P9" s="18"/>
      <c r="Q9" s="2"/>
    </row>
    <row r="10" spans="1:25" s="1" customFormat="1" ht="14.4" customHeight="1">
      <c r="A10" s="2"/>
      <c r="B10" s="19" t="s">
        <v>11</v>
      </c>
      <c r="C10" s="19"/>
      <c r="D10" s="19"/>
      <c r="E10" s="19" t="s">
        <v>12</v>
      </c>
      <c r="F10" s="19"/>
      <c r="G10" s="19"/>
      <c r="H10" s="19" t="str">
        <f>IFERROR(TEXT(H8/E8,"0.00")&amp;" units per order","-")</f>
        <v>3.01 units per order</v>
      </c>
      <c r="I10" s="19"/>
      <c r="J10" s="19"/>
      <c r="K10" s="19" t="s">
        <v>13</v>
      </c>
      <c r="L10" s="19"/>
      <c r="M10" s="19"/>
      <c r="N10" s="19" t="s">
        <v>14</v>
      </c>
      <c r="O10" s="19"/>
      <c r="P10" s="19"/>
      <c r="Q10" s="2"/>
    </row>
    <row r="44" spans="10:19">
      <c r="J44" s="20" t="s">
        <v>15</v>
      </c>
      <c r="K44" s="21"/>
      <c r="L44" s="21"/>
      <c r="M44" s="21"/>
      <c r="N44" s="21"/>
      <c r="O44" s="22" t="s">
        <v>16</v>
      </c>
      <c r="P44" s="23"/>
      <c r="Q44" s="23"/>
      <c r="R44" s="23"/>
      <c r="S44" s="23"/>
    </row>
    <row r="45" spans="10:19">
      <c r="J45" s="24" t="s">
        <v>17</v>
      </c>
      <c r="K45" s="25"/>
      <c r="L45" s="26" t="s">
        <v>18</v>
      </c>
      <c r="M45" s="26" t="s">
        <v>19</v>
      </c>
      <c r="N45" s="26" t="s">
        <v>20</v>
      </c>
      <c r="O45" s="27" t="s">
        <v>21</v>
      </c>
      <c r="P45" s="24" t="s">
        <v>22</v>
      </c>
      <c r="Q45" s="25"/>
      <c r="R45" s="24" t="s">
        <v>23</v>
      </c>
      <c r="S45" s="25"/>
    </row>
    <row r="46" spans="10:19">
      <c r="J46" s="28" t="s">
        <v>23</v>
      </c>
      <c r="K46" s="29"/>
      <c r="L46" s="30">
        <v>229192.47</v>
      </c>
      <c r="M46" s="31">
        <v>250000</v>
      </c>
      <c r="N46" s="32">
        <f>IFERROR(L46/M46,0)</f>
        <v>0.91676988000000004</v>
      </c>
      <c r="O46" s="33">
        <v>1</v>
      </c>
      <c r="P46" s="28" t="s">
        <v>24</v>
      </c>
      <c r="Q46" s="29"/>
      <c r="R46" s="34">
        <v>15659.65</v>
      </c>
      <c r="S46" s="35"/>
    </row>
    <row r="47" spans="10:19">
      <c r="J47" s="28" t="s">
        <v>25</v>
      </c>
      <c r="K47" s="29"/>
      <c r="L47" s="36">
        <v>250</v>
      </c>
      <c r="M47" s="37">
        <v>240</v>
      </c>
      <c r="N47" s="32">
        <f>IFERROR(L47/M47,0)</f>
        <v>1.0416666666666667</v>
      </c>
      <c r="O47" s="33">
        <v>2</v>
      </c>
      <c r="P47" s="28" t="s">
        <v>26</v>
      </c>
      <c r="Q47" s="29"/>
      <c r="R47" s="34">
        <v>11919.77</v>
      </c>
      <c r="S47" s="35"/>
    </row>
    <row r="48" spans="10:19">
      <c r="J48" s="28" t="s">
        <v>27</v>
      </c>
      <c r="K48" s="29"/>
      <c r="L48" s="30">
        <v>916.76988000000097</v>
      </c>
      <c r="M48" s="31">
        <v>950</v>
      </c>
      <c r="N48" s="32">
        <f>IFERROR(L48/M48,0)</f>
        <v>0.96502092631579051</v>
      </c>
      <c r="O48" s="33">
        <v>3</v>
      </c>
      <c r="P48" s="28" t="s">
        <v>28</v>
      </c>
      <c r="Q48" s="29"/>
      <c r="R48" s="34">
        <v>10649.8</v>
      </c>
      <c r="S48" s="35"/>
    </row>
    <row r="49" spans="10:19">
      <c r="J49" s="28" t="s">
        <v>29</v>
      </c>
      <c r="K49" s="29"/>
      <c r="L49" s="38">
        <v>3.012</v>
      </c>
      <c r="M49" s="39">
        <v>3.2</v>
      </c>
      <c r="N49" s="32">
        <f>IFERROR(L49/M49,0)</f>
        <v>0.94124999999999992</v>
      </c>
      <c r="O49" s="33">
        <v>4</v>
      </c>
      <c r="P49" s="28" t="s">
        <v>30</v>
      </c>
      <c r="Q49" s="29"/>
      <c r="R49" s="34">
        <v>9799.73</v>
      </c>
      <c r="S49" s="35"/>
    </row>
    <row r="50" spans="10:19">
      <c r="J50" s="40" t="s">
        <v>31</v>
      </c>
      <c r="K50" s="2"/>
      <c r="L50" s="2"/>
      <c r="M50" s="2"/>
      <c r="N50" s="2"/>
      <c r="O50" s="33">
        <v>5</v>
      </c>
      <c r="P50" s="28" t="s">
        <v>32</v>
      </c>
      <c r="Q50" s="29"/>
      <c r="R50" s="34">
        <v>8309.74</v>
      </c>
      <c r="S50" s="35"/>
    </row>
  </sheetData>
  <mergeCells count="38">
    <mergeCell ref="P50:Q50"/>
    <mergeCell ref="R50:S50"/>
    <mergeCell ref="B1:Y2"/>
    <mergeCell ref="B3:Y3"/>
    <mergeCell ref="R47:S47"/>
    <mergeCell ref="J48:K48"/>
    <mergeCell ref="P48:Q48"/>
    <mergeCell ref="R48:S48"/>
    <mergeCell ref="J49:K49"/>
    <mergeCell ref="P49:Q49"/>
    <mergeCell ref="R49:S49"/>
    <mergeCell ref="J45:K45"/>
    <mergeCell ref="P45:Q45"/>
    <mergeCell ref="R45:S45"/>
    <mergeCell ref="J46:K46"/>
    <mergeCell ref="P46:Q46"/>
    <mergeCell ref="R46:S46"/>
    <mergeCell ref="J47:K47"/>
    <mergeCell ref="P47:Q47"/>
    <mergeCell ref="B10:D10"/>
    <mergeCell ref="E10:G10"/>
    <mergeCell ref="H10:J10"/>
    <mergeCell ref="K10:M10"/>
    <mergeCell ref="N10:P10"/>
    <mergeCell ref="B7:D7"/>
    <mergeCell ref="E7:G7"/>
    <mergeCell ref="H7:J7"/>
    <mergeCell ref="K7:M7"/>
    <mergeCell ref="N7:P7"/>
    <mergeCell ref="B8:D9"/>
    <mergeCell ref="E8:G9"/>
    <mergeCell ref="H8:J9"/>
    <mergeCell ref="K8:M9"/>
    <mergeCell ref="N8:P9"/>
    <mergeCell ref="C5:D5"/>
    <mergeCell ref="G5:H5"/>
    <mergeCell ref="K5:L5"/>
    <mergeCell ref="O5:P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5A12-292F-401E-BDC9-360AC8E6A615}">
  <dimension ref="A1:S251"/>
  <sheetViews>
    <sheetView zoomScaleNormal="100" workbookViewId="0">
      <selection activeCell="G18" sqref="G18"/>
    </sheetView>
  </sheetViews>
  <sheetFormatPr defaultRowHeight="14.4"/>
  <cols>
    <col min="2" max="2" width="10.109375" customWidth="1"/>
    <col min="3" max="3" width="10.21875" customWidth="1"/>
    <col min="4" max="4" width="15.88671875" customWidth="1"/>
    <col min="9" max="9" width="10.6640625" customWidth="1"/>
    <col min="12" max="12" width="10.44140625" customWidth="1"/>
    <col min="13" max="13" width="10.21875" customWidth="1"/>
    <col min="14" max="14" width="8.109375" bestFit="1" customWidth="1"/>
    <col min="15" max="15" width="7.5546875" customWidth="1"/>
    <col min="17" max="17" width="9.21875" customWidth="1"/>
  </cols>
  <sheetData>
    <row r="1" spans="1:19" ht="39.6">
      <c r="A1" s="43" t="s">
        <v>33</v>
      </c>
      <c r="B1" s="43" t="s">
        <v>34</v>
      </c>
      <c r="C1" s="43" t="s">
        <v>35</v>
      </c>
      <c r="D1" s="43" t="s">
        <v>36</v>
      </c>
      <c r="E1" s="43" t="s">
        <v>37</v>
      </c>
      <c r="F1" s="43" t="s">
        <v>38</v>
      </c>
      <c r="G1" s="43" t="s">
        <v>39</v>
      </c>
      <c r="H1" s="43" t="s">
        <v>40</v>
      </c>
      <c r="I1" s="43" t="s">
        <v>41</v>
      </c>
      <c r="J1" s="43" t="s">
        <v>42</v>
      </c>
      <c r="K1" s="43" t="s">
        <v>43</v>
      </c>
      <c r="L1" s="43" t="s">
        <v>44</v>
      </c>
      <c r="M1" s="43" t="s">
        <v>45</v>
      </c>
      <c r="N1" s="43" t="s">
        <v>46</v>
      </c>
      <c r="O1" s="44" t="s">
        <v>47</v>
      </c>
      <c r="P1" s="44" t="s">
        <v>48</v>
      </c>
      <c r="Q1" s="44" t="s">
        <v>49</v>
      </c>
      <c r="R1" s="44" t="s">
        <v>50</v>
      </c>
      <c r="S1" s="44" t="s">
        <v>51</v>
      </c>
    </row>
    <row r="2" spans="1:19">
      <c r="A2" s="45" t="s">
        <v>52</v>
      </c>
      <c r="B2" s="46">
        <v>45393</v>
      </c>
      <c r="C2" s="45" t="s">
        <v>53</v>
      </c>
      <c r="D2" s="45" t="s">
        <v>32</v>
      </c>
      <c r="E2" s="45" t="s">
        <v>54</v>
      </c>
      <c r="F2" s="45" t="s">
        <v>55</v>
      </c>
      <c r="G2" s="45" t="s">
        <v>56</v>
      </c>
      <c r="H2" s="45">
        <v>3</v>
      </c>
      <c r="I2" s="47">
        <v>249.99</v>
      </c>
      <c r="J2" s="45" t="s">
        <v>57</v>
      </c>
      <c r="K2" s="45" t="s">
        <v>58</v>
      </c>
      <c r="L2" s="45" t="s">
        <v>59</v>
      </c>
      <c r="M2" s="46">
        <v>44425</v>
      </c>
      <c r="N2" s="47">
        <v>749.97</v>
      </c>
      <c r="O2" s="48">
        <f>EOMONTH(B2,0)</f>
        <v>45412</v>
      </c>
      <c r="P2" s="49" t="str">
        <f>"Q"&amp;ROUNDUP(MONTH(B2)/3,0)&amp;"-"&amp;YEAR(B2)</f>
        <v>Q2-2024</v>
      </c>
      <c r="Q2" s="50">
        <f ca="1">TODAY()-B2</f>
        <v>931</v>
      </c>
      <c r="R2" s="50">
        <f>COUNTIF($C$2:C2,C2)</f>
        <v>1</v>
      </c>
      <c r="S2" s="50">
        <v>1</v>
      </c>
    </row>
    <row r="3" spans="1:19">
      <c r="A3" s="45" t="s">
        <v>60</v>
      </c>
      <c r="B3" s="46">
        <v>45396</v>
      </c>
      <c r="C3" s="45" t="s">
        <v>61</v>
      </c>
      <c r="D3" s="45" t="s">
        <v>62</v>
      </c>
      <c r="E3" s="45" t="s">
        <v>54</v>
      </c>
      <c r="F3" s="45" t="s">
        <v>55</v>
      </c>
      <c r="G3" s="45" t="s">
        <v>56</v>
      </c>
      <c r="H3" s="45">
        <v>3</v>
      </c>
      <c r="I3" s="47">
        <v>249.99</v>
      </c>
      <c r="J3" s="45" t="s">
        <v>63</v>
      </c>
      <c r="K3" s="45" t="s">
        <v>58</v>
      </c>
      <c r="L3" s="45" t="s">
        <v>64</v>
      </c>
      <c r="M3" s="46">
        <v>44575</v>
      </c>
      <c r="N3" s="47">
        <v>749.97</v>
      </c>
      <c r="O3" s="48">
        <f>EOMONTH(B3,0)</f>
        <v>45412</v>
      </c>
      <c r="P3" s="49" t="str">
        <f>"Q"&amp;ROUNDUP(MONTH(B3)/3,0)&amp;"-"&amp;YEAR(B3)</f>
        <v>Q2-2024</v>
      </c>
      <c r="Q3" s="50">
        <f ca="1">TODAY()-B3</f>
        <v>928</v>
      </c>
      <c r="R3" s="50">
        <f>COUNTIF($C$2:C3,C3)</f>
        <v>1</v>
      </c>
      <c r="S3" s="50">
        <v>2</v>
      </c>
    </row>
    <row r="4" spans="1:19">
      <c r="A4" s="45" t="s">
        <v>65</v>
      </c>
      <c r="B4" s="46">
        <v>45399</v>
      </c>
      <c r="C4" s="45" t="s">
        <v>66</v>
      </c>
      <c r="D4" s="45" t="s">
        <v>67</v>
      </c>
      <c r="E4" s="45" t="s">
        <v>68</v>
      </c>
      <c r="F4" s="45" t="s">
        <v>69</v>
      </c>
      <c r="G4" s="45" t="s">
        <v>70</v>
      </c>
      <c r="H4" s="45">
        <v>3</v>
      </c>
      <c r="I4" s="47">
        <v>59.99</v>
      </c>
      <c r="J4" s="45" t="s">
        <v>71</v>
      </c>
      <c r="K4" s="45" t="s">
        <v>72</v>
      </c>
      <c r="L4" s="45" t="s">
        <v>73</v>
      </c>
      <c r="M4" s="46">
        <v>45262</v>
      </c>
      <c r="N4" s="47">
        <v>179.97</v>
      </c>
      <c r="O4" s="48">
        <f>EOMONTH(B4,0)</f>
        <v>45412</v>
      </c>
      <c r="P4" s="49" t="str">
        <f>"Q"&amp;ROUNDUP(MONTH(B4)/3,0)&amp;"-"&amp;YEAR(B4)</f>
        <v>Q2-2024</v>
      </c>
      <c r="Q4" s="50">
        <f ca="1">TODAY()-B4</f>
        <v>925</v>
      </c>
      <c r="R4" s="50">
        <f>COUNTIF($C$2:C4,C4)</f>
        <v>1</v>
      </c>
      <c r="S4" s="50">
        <v>3</v>
      </c>
    </row>
    <row r="5" spans="1:19">
      <c r="A5" s="45" t="s">
        <v>74</v>
      </c>
      <c r="B5" s="46">
        <v>45400</v>
      </c>
      <c r="C5" s="45" t="s">
        <v>75</v>
      </c>
      <c r="D5" s="45" t="s">
        <v>76</v>
      </c>
      <c r="E5" s="45" t="s">
        <v>68</v>
      </c>
      <c r="F5" s="45" t="s">
        <v>69</v>
      </c>
      <c r="G5" s="45" t="s">
        <v>70</v>
      </c>
      <c r="H5" s="45">
        <v>3</v>
      </c>
      <c r="I5" s="47">
        <v>59.99</v>
      </c>
      <c r="J5" s="45" t="s">
        <v>57</v>
      </c>
      <c r="K5" s="45" t="s">
        <v>77</v>
      </c>
      <c r="L5" s="45" t="s">
        <v>64</v>
      </c>
      <c r="M5" s="46">
        <v>45114</v>
      </c>
      <c r="N5" s="47">
        <v>179.97</v>
      </c>
      <c r="O5" s="48">
        <f>EOMONTH(B5,0)</f>
        <v>45412</v>
      </c>
      <c r="P5" s="49" t="str">
        <f>"Q"&amp;ROUNDUP(MONTH(B5)/3,0)&amp;"-"&amp;YEAR(B5)</f>
        <v>Q2-2024</v>
      </c>
      <c r="Q5" s="50">
        <f ca="1">TODAY()-B5</f>
        <v>924</v>
      </c>
      <c r="R5" s="50">
        <f>COUNTIF($C$2:C5,C5)</f>
        <v>1</v>
      </c>
      <c r="S5" s="50">
        <v>4</v>
      </c>
    </row>
    <row r="6" spans="1:19">
      <c r="A6" s="45" t="s">
        <v>78</v>
      </c>
      <c r="B6" s="46">
        <v>45400</v>
      </c>
      <c r="C6" s="45" t="s">
        <v>79</v>
      </c>
      <c r="D6" s="45" t="s">
        <v>80</v>
      </c>
      <c r="E6" s="45" t="s">
        <v>81</v>
      </c>
      <c r="F6" s="45" t="s">
        <v>82</v>
      </c>
      <c r="G6" s="45" t="s">
        <v>83</v>
      </c>
      <c r="H6" s="45">
        <v>5</v>
      </c>
      <c r="I6" s="47">
        <v>149.99</v>
      </c>
      <c r="J6" s="45" t="s">
        <v>63</v>
      </c>
      <c r="K6" s="45" t="s">
        <v>77</v>
      </c>
      <c r="L6" s="45" t="s">
        <v>64</v>
      </c>
      <c r="M6" s="46">
        <v>45295</v>
      </c>
      <c r="N6" s="47">
        <v>749.95</v>
      </c>
      <c r="O6" s="48">
        <f>EOMONTH(B6,0)</f>
        <v>45412</v>
      </c>
      <c r="P6" s="49" t="str">
        <f>"Q"&amp;ROUNDUP(MONTH(B6)/3,0)&amp;"-"&amp;YEAR(B6)</f>
        <v>Q2-2024</v>
      </c>
      <c r="Q6" s="50">
        <f ca="1">TODAY()-B6</f>
        <v>924</v>
      </c>
      <c r="R6" s="50">
        <f>COUNTIF($C$2:C6,C6)</f>
        <v>1</v>
      </c>
      <c r="S6" s="50">
        <v>5</v>
      </c>
    </row>
    <row r="7" spans="1:19">
      <c r="A7" s="45" t="s">
        <v>84</v>
      </c>
      <c r="B7" s="46">
        <v>45403</v>
      </c>
      <c r="C7" s="45" t="s">
        <v>85</v>
      </c>
      <c r="D7" s="45" t="s">
        <v>86</v>
      </c>
      <c r="E7" s="45" t="s">
        <v>68</v>
      </c>
      <c r="F7" s="45" t="s">
        <v>69</v>
      </c>
      <c r="G7" s="45" t="s">
        <v>70</v>
      </c>
      <c r="H7" s="45">
        <v>2</v>
      </c>
      <c r="I7" s="47">
        <v>59.99</v>
      </c>
      <c r="J7" s="45" t="s">
        <v>57</v>
      </c>
      <c r="K7" s="45" t="s">
        <v>87</v>
      </c>
      <c r="L7" s="45" t="s">
        <v>73</v>
      </c>
      <c r="M7" s="46">
        <v>44746</v>
      </c>
      <c r="N7" s="47">
        <v>119.98</v>
      </c>
      <c r="O7" s="48">
        <f>EOMONTH(B7,0)</f>
        <v>45412</v>
      </c>
      <c r="P7" s="49" t="str">
        <f>"Q"&amp;ROUNDUP(MONTH(B7)/3,0)&amp;"-"&amp;YEAR(B7)</f>
        <v>Q2-2024</v>
      </c>
      <c r="Q7" s="50">
        <f ca="1">TODAY()-B7</f>
        <v>921</v>
      </c>
      <c r="R7" s="50">
        <f>COUNTIF($C$2:C7,C7)</f>
        <v>1</v>
      </c>
      <c r="S7" s="50">
        <v>6</v>
      </c>
    </row>
    <row r="8" spans="1:19">
      <c r="A8" s="45" t="s">
        <v>88</v>
      </c>
      <c r="B8" s="46">
        <v>45403</v>
      </c>
      <c r="C8" s="45" t="s">
        <v>85</v>
      </c>
      <c r="D8" s="45" t="s">
        <v>86</v>
      </c>
      <c r="E8" s="45" t="s">
        <v>89</v>
      </c>
      <c r="F8" s="45" t="s">
        <v>90</v>
      </c>
      <c r="G8" s="45" t="s">
        <v>56</v>
      </c>
      <c r="H8" s="45">
        <v>5</v>
      </c>
      <c r="I8" s="47">
        <v>149.99</v>
      </c>
      <c r="J8" s="45" t="s">
        <v>63</v>
      </c>
      <c r="K8" s="45" t="s">
        <v>58</v>
      </c>
      <c r="L8" s="45" t="s">
        <v>73</v>
      </c>
      <c r="M8" s="46">
        <v>44418</v>
      </c>
      <c r="N8" s="47">
        <v>749.95</v>
      </c>
      <c r="O8" s="48">
        <f>EOMONTH(B8,0)</f>
        <v>45412</v>
      </c>
      <c r="P8" s="49" t="str">
        <f>"Q"&amp;ROUNDUP(MONTH(B8)/3,0)&amp;"-"&amp;YEAR(B8)</f>
        <v>Q2-2024</v>
      </c>
      <c r="Q8" s="50">
        <f ca="1">TODAY()-B8</f>
        <v>921</v>
      </c>
      <c r="R8" s="50">
        <f>COUNTIF($C$2:C8,C8)</f>
        <v>2</v>
      </c>
      <c r="S8" s="50">
        <v>7</v>
      </c>
    </row>
    <row r="9" spans="1:19">
      <c r="A9" s="45" t="s">
        <v>91</v>
      </c>
      <c r="B9" s="46">
        <v>45403</v>
      </c>
      <c r="C9" s="45" t="s">
        <v>92</v>
      </c>
      <c r="D9" s="45" t="s">
        <v>93</v>
      </c>
      <c r="E9" s="45" t="s">
        <v>68</v>
      </c>
      <c r="F9" s="45" t="s">
        <v>69</v>
      </c>
      <c r="G9" s="45" t="s">
        <v>70</v>
      </c>
      <c r="H9" s="45">
        <v>3</v>
      </c>
      <c r="I9" s="47">
        <v>59.99</v>
      </c>
      <c r="J9" s="45" t="s">
        <v>94</v>
      </c>
      <c r="K9" s="45" t="s">
        <v>72</v>
      </c>
      <c r="L9" s="45" t="s">
        <v>59</v>
      </c>
      <c r="M9" s="46">
        <v>45007</v>
      </c>
      <c r="N9" s="47">
        <v>179.97</v>
      </c>
      <c r="O9" s="48">
        <f>EOMONTH(B9,0)</f>
        <v>45412</v>
      </c>
      <c r="P9" s="49" t="str">
        <f>"Q"&amp;ROUNDUP(MONTH(B9)/3,0)&amp;"-"&amp;YEAR(B9)</f>
        <v>Q2-2024</v>
      </c>
      <c r="Q9" s="50">
        <f ca="1">TODAY()-B9</f>
        <v>921</v>
      </c>
      <c r="R9" s="50">
        <f>COUNTIF($C$2:C9,C9)</f>
        <v>1</v>
      </c>
      <c r="S9" s="50">
        <v>8</v>
      </c>
    </row>
    <row r="10" spans="1:19">
      <c r="A10" s="45" t="s">
        <v>95</v>
      </c>
      <c r="B10" s="46">
        <v>45405</v>
      </c>
      <c r="C10" s="45" t="s">
        <v>96</v>
      </c>
      <c r="D10" s="45" t="s">
        <v>97</v>
      </c>
      <c r="E10" s="45" t="s">
        <v>98</v>
      </c>
      <c r="F10" s="45" t="s">
        <v>99</v>
      </c>
      <c r="G10" s="45" t="s">
        <v>56</v>
      </c>
      <c r="H10" s="45">
        <v>3</v>
      </c>
      <c r="I10" s="47">
        <v>899.99</v>
      </c>
      <c r="J10" s="45" t="s">
        <v>71</v>
      </c>
      <c r="K10" s="45" t="s">
        <v>100</v>
      </c>
      <c r="L10" s="45" t="s">
        <v>73</v>
      </c>
      <c r="M10" s="46">
        <v>45299</v>
      </c>
      <c r="N10" s="47">
        <v>2699.97</v>
      </c>
      <c r="O10" s="48">
        <f>EOMONTH(B10,0)</f>
        <v>45412</v>
      </c>
      <c r="P10" s="49" t="str">
        <f>"Q"&amp;ROUNDUP(MONTH(B10)/3,0)&amp;"-"&amp;YEAR(B10)</f>
        <v>Q2-2024</v>
      </c>
      <c r="Q10" s="50">
        <f ca="1">TODAY()-B10</f>
        <v>919</v>
      </c>
      <c r="R10" s="50">
        <f>COUNTIF($C$2:C10,C10)</f>
        <v>1</v>
      </c>
      <c r="S10" s="50">
        <v>9</v>
      </c>
    </row>
    <row r="11" spans="1:19">
      <c r="A11" s="45" t="s">
        <v>101</v>
      </c>
      <c r="B11" s="46">
        <v>45408</v>
      </c>
      <c r="C11" s="45" t="s">
        <v>102</v>
      </c>
      <c r="D11" s="45" t="s">
        <v>103</v>
      </c>
      <c r="E11" s="45" t="s">
        <v>68</v>
      </c>
      <c r="F11" s="45" t="s">
        <v>69</v>
      </c>
      <c r="G11" s="45" t="s">
        <v>70</v>
      </c>
      <c r="H11" s="45">
        <v>3</v>
      </c>
      <c r="I11" s="47">
        <v>59.99</v>
      </c>
      <c r="J11" s="45" t="s">
        <v>57</v>
      </c>
      <c r="K11" s="45" t="s">
        <v>87</v>
      </c>
      <c r="L11" s="45" t="s">
        <v>64</v>
      </c>
      <c r="M11" s="46">
        <v>45207</v>
      </c>
      <c r="N11" s="47">
        <v>179.97</v>
      </c>
      <c r="O11" s="48">
        <f>EOMONTH(B11,0)</f>
        <v>45412</v>
      </c>
      <c r="P11" s="49" t="str">
        <f>"Q"&amp;ROUNDUP(MONTH(B11)/3,0)&amp;"-"&amp;YEAR(B11)</f>
        <v>Q2-2024</v>
      </c>
      <c r="Q11" s="50">
        <f ca="1">TODAY()-B11</f>
        <v>916</v>
      </c>
      <c r="R11" s="50">
        <f>COUNTIF($C$2:C11,C11)</f>
        <v>1</v>
      </c>
      <c r="S11" s="50">
        <v>10</v>
      </c>
    </row>
    <row r="12" spans="1:19">
      <c r="A12" s="45" t="s">
        <v>104</v>
      </c>
      <c r="B12" s="46">
        <v>45408</v>
      </c>
      <c r="C12" s="45" t="s">
        <v>105</v>
      </c>
      <c r="D12" s="45" t="s">
        <v>106</v>
      </c>
      <c r="E12" s="45" t="s">
        <v>81</v>
      </c>
      <c r="F12" s="45" t="s">
        <v>82</v>
      </c>
      <c r="G12" s="45" t="s">
        <v>83</v>
      </c>
      <c r="H12" s="45">
        <v>1</v>
      </c>
      <c r="I12" s="47">
        <v>149.99</v>
      </c>
      <c r="J12" s="45" t="s">
        <v>63</v>
      </c>
      <c r="K12" s="45" t="s">
        <v>87</v>
      </c>
      <c r="L12" s="45" t="s">
        <v>73</v>
      </c>
      <c r="M12" s="46">
        <v>45103</v>
      </c>
      <c r="N12" s="47">
        <v>149.99</v>
      </c>
      <c r="O12" s="48">
        <f>EOMONTH(B12,0)</f>
        <v>45412</v>
      </c>
      <c r="P12" s="49" t="str">
        <f>"Q"&amp;ROUNDUP(MONTH(B12)/3,0)&amp;"-"&amp;YEAR(B12)</f>
        <v>Q2-2024</v>
      </c>
      <c r="Q12" s="50">
        <f ca="1">TODAY()-B12</f>
        <v>916</v>
      </c>
      <c r="R12" s="50">
        <f>COUNTIF($C$2:C12,C12)</f>
        <v>1</v>
      </c>
      <c r="S12" s="50">
        <v>11</v>
      </c>
    </row>
    <row r="13" spans="1:19">
      <c r="A13" s="45" t="s">
        <v>107</v>
      </c>
      <c r="B13" s="46">
        <v>45408</v>
      </c>
      <c r="C13" s="45" t="s">
        <v>75</v>
      </c>
      <c r="D13" s="45" t="s">
        <v>76</v>
      </c>
      <c r="E13" s="45" t="s">
        <v>81</v>
      </c>
      <c r="F13" s="45" t="s">
        <v>82</v>
      </c>
      <c r="G13" s="45" t="s">
        <v>83</v>
      </c>
      <c r="H13" s="45">
        <v>5</v>
      </c>
      <c r="I13" s="47">
        <v>149.99</v>
      </c>
      <c r="J13" s="45" t="s">
        <v>94</v>
      </c>
      <c r="K13" s="45" t="s">
        <v>77</v>
      </c>
      <c r="L13" s="45" t="s">
        <v>59</v>
      </c>
      <c r="M13" s="46">
        <v>44830</v>
      </c>
      <c r="N13" s="47">
        <v>749.95</v>
      </c>
      <c r="O13" s="48">
        <f>EOMONTH(B13,0)</f>
        <v>45412</v>
      </c>
      <c r="P13" s="49" t="str">
        <f>"Q"&amp;ROUNDUP(MONTH(B13)/3,0)&amp;"-"&amp;YEAR(B13)</f>
        <v>Q2-2024</v>
      </c>
      <c r="Q13" s="50">
        <f ca="1">TODAY()-B13</f>
        <v>916</v>
      </c>
      <c r="R13" s="50">
        <f>COUNTIF($C$2:C13,C13)</f>
        <v>2</v>
      </c>
      <c r="S13" s="50">
        <v>12</v>
      </c>
    </row>
    <row r="14" spans="1:19">
      <c r="A14" s="45" t="s">
        <v>108</v>
      </c>
      <c r="B14" s="46">
        <v>45408</v>
      </c>
      <c r="C14" s="45" t="s">
        <v>109</v>
      </c>
      <c r="D14" s="45" t="s">
        <v>110</v>
      </c>
      <c r="E14" s="45" t="s">
        <v>81</v>
      </c>
      <c r="F14" s="45" t="s">
        <v>82</v>
      </c>
      <c r="G14" s="45" t="s">
        <v>83</v>
      </c>
      <c r="H14" s="45">
        <v>3</v>
      </c>
      <c r="I14" s="47">
        <v>149.99</v>
      </c>
      <c r="J14" s="45" t="s">
        <v>57</v>
      </c>
      <c r="K14" s="45" t="s">
        <v>77</v>
      </c>
      <c r="L14" s="45" t="s">
        <v>64</v>
      </c>
      <c r="M14" s="46">
        <v>44806</v>
      </c>
      <c r="N14" s="47">
        <v>449.97</v>
      </c>
      <c r="O14" s="48">
        <f>EOMONTH(B14,0)</f>
        <v>45412</v>
      </c>
      <c r="P14" s="49" t="str">
        <f>"Q"&amp;ROUNDUP(MONTH(B14)/3,0)&amp;"-"&amp;YEAR(B14)</f>
        <v>Q2-2024</v>
      </c>
      <c r="Q14" s="50">
        <f ca="1">TODAY()-B14</f>
        <v>916</v>
      </c>
      <c r="R14" s="50">
        <f>COUNTIF($C$2:C14,C14)</f>
        <v>1</v>
      </c>
      <c r="S14" s="50">
        <v>13</v>
      </c>
    </row>
    <row r="15" spans="1:19">
      <c r="A15" s="45" t="s">
        <v>111</v>
      </c>
      <c r="B15" s="46">
        <v>45409</v>
      </c>
      <c r="C15" s="45" t="s">
        <v>112</v>
      </c>
      <c r="D15" s="45" t="s">
        <v>113</v>
      </c>
      <c r="E15" s="45" t="s">
        <v>68</v>
      </c>
      <c r="F15" s="45" t="s">
        <v>69</v>
      </c>
      <c r="G15" s="45" t="s">
        <v>70</v>
      </c>
      <c r="H15" s="45">
        <v>3</v>
      </c>
      <c r="I15" s="47">
        <v>59.99</v>
      </c>
      <c r="J15" s="45" t="s">
        <v>63</v>
      </c>
      <c r="K15" s="45" t="s">
        <v>77</v>
      </c>
      <c r="L15" s="45" t="s">
        <v>73</v>
      </c>
      <c r="M15" s="46">
        <v>45351</v>
      </c>
      <c r="N15" s="47">
        <v>179.97</v>
      </c>
      <c r="O15" s="48">
        <f>EOMONTH(B15,0)</f>
        <v>45412</v>
      </c>
      <c r="P15" s="49" t="str">
        <f>"Q"&amp;ROUNDUP(MONTH(B15)/3,0)&amp;"-"&amp;YEAR(B15)</f>
        <v>Q2-2024</v>
      </c>
      <c r="Q15" s="50">
        <f ca="1">TODAY()-B15</f>
        <v>915</v>
      </c>
      <c r="R15" s="50">
        <f>COUNTIF($C$2:C15,C15)</f>
        <v>1</v>
      </c>
      <c r="S15" s="50">
        <v>14</v>
      </c>
    </row>
    <row r="16" spans="1:19">
      <c r="A16" s="45" t="s">
        <v>114</v>
      </c>
      <c r="B16" s="46">
        <v>45409</v>
      </c>
      <c r="C16" s="45" t="s">
        <v>115</v>
      </c>
      <c r="D16" s="45" t="s">
        <v>116</v>
      </c>
      <c r="E16" s="45" t="s">
        <v>117</v>
      </c>
      <c r="F16" s="45" t="s">
        <v>118</v>
      </c>
      <c r="G16" s="45" t="s">
        <v>56</v>
      </c>
      <c r="H16" s="45">
        <v>3</v>
      </c>
      <c r="I16" s="47">
        <v>699.99</v>
      </c>
      <c r="J16" s="45" t="s">
        <v>63</v>
      </c>
      <c r="K16" s="45" t="s">
        <v>87</v>
      </c>
      <c r="L16" s="45" t="s">
        <v>59</v>
      </c>
      <c r="M16" s="46">
        <v>44577</v>
      </c>
      <c r="N16" s="47">
        <v>2099.9699999999998</v>
      </c>
      <c r="O16" s="48">
        <f>EOMONTH(B16,0)</f>
        <v>45412</v>
      </c>
      <c r="P16" s="49" t="str">
        <f>"Q"&amp;ROUNDUP(MONTH(B16)/3,0)&amp;"-"&amp;YEAR(B16)</f>
        <v>Q2-2024</v>
      </c>
      <c r="Q16" s="50">
        <f ca="1">TODAY()-B16</f>
        <v>915</v>
      </c>
      <c r="R16" s="50">
        <f>COUNTIF($C$2:C16,C16)</f>
        <v>1</v>
      </c>
      <c r="S16" s="50">
        <v>15</v>
      </c>
    </row>
    <row r="17" spans="1:19">
      <c r="A17" s="45" t="s">
        <v>119</v>
      </c>
      <c r="B17" s="46">
        <v>45409</v>
      </c>
      <c r="C17" s="45" t="s">
        <v>120</v>
      </c>
      <c r="D17" s="45" t="s">
        <v>121</v>
      </c>
      <c r="E17" s="45" t="s">
        <v>98</v>
      </c>
      <c r="F17" s="45" t="s">
        <v>99</v>
      </c>
      <c r="G17" s="45" t="s">
        <v>56</v>
      </c>
      <c r="H17" s="45">
        <v>1</v>
      </c>
      <c r="I17" s="47">
        <v>899.99</v>
      </c>
      <c r="J17" s="45" t="s">
        <v>94</v>
      </c>
      <c r="K17" s="45" t="s">
        <v>77</v>
      </c>
      <c r="L17" s="45" t="s">
        <v>73</v>
      </c>
      <c r="M17" s="46">
        <v>44920</v>
      </c>
      <c r="N17" s="47">
        <v>899.99</v>
      </c>
      <c r="O17" s="48">
        <f>EOMONTH(B17,0)</f>
        <v>45412</v>
      </c>
      <c r="P17" s="49" t="str">
        <f>"Q"&amp;ROUNDUP(MONTH(B17)/3,0)&amp;"-"&amp;YEAR(B17)</f>
        <v>Q2-2024</v>
      </c>
      <c r="Q17" s="50">
        <f ca="1">TODAY()-B17</f>
        <v>915</v>
      </c>
      <c r="R17" s="50">
        <f>COUNTIF($C$2:C17,C17)</f>
        <v>1</v>
      </c>
      <c r="S17" s="50">
        <v>16</v>
      </c>
    </row>
    <row r="18" spans="1:19">
      <c r="A18" s="45" t="s">
        <v>122</v>
      </c>
      <c r="B18" s="46">
        <v>45410</v>
      </c>
      <c r="C18" s="45" t="s">
        <v>123</v>
      </c>
      <c r="D18" s="45" t="s">
        <v>24</v>
      </c>
      <c r="E18" s="45" t="s">
        <v>81</v>
      </c>
      <c r="F18" s="45" t="s">
        <v>82</v>
      </c>
      <c r="G18" s="45" t="s">
        <v>83</v>
      </c>
      <c r="H18" s="45">
        <v>4</v>
      </c>
      <c r="I18" s="47">
        <v>149.99</v>
      </c>
      <c r="J18" s="45" t="s">
        <v>94</v>
      </c>
      <c r="K18" s="45" t="s">
        <v>77</v>
      </c>
      <c r="L18" s="45" t="s">
        <v>64</v>
      </c>
      <c r="M18" s="46">
        <v>45374</v>
      </c>
      <c r="N18" s="47">
        <v>599.96</v>
      </c>
      <c r="O18" s="48">
        <f>EOMONTH(B18,0)</f>
        <v>45412</v>
      </c>
      <c r="P18" s="49" t="str">
        <f>"Q"&amp;ROUNDUP(MONTH(B18)/3,0)&amp;"-"&amp;YEAR(B18)</f>
        <v>Q2-2024</v>
      </c>
      <c r="Q18" s="50">
        <f ca="1">TODAY()-B18</f>
        <v>914</v>
      </c>
      <c r="R18" s="50">
        <f>COUNTIF($C$2:C18,C18)</f>
        <v>1</v>
      </c>
      <c r="S18" s="50">
        <v>17</v>
      </c>
    </row>
    <row r="19" spans="1:19">
      <c r="A19" s="45" t="s">
        <v>124</v>
      </c>
      <c r="B19" s="46">
        <v>45410</v>
      </c>
      <c r="C19" s="45" t="s">
        <v>125</v>
      </c>
      <c r="D19" s="45" t="s">
        <v>126</v>
      </c>
      <c r="E19" s="45" t="s">
        <v>117</v>
      </c>
      <c r="F19" s="45" t="s">
        <v>118</v>
      </c>
      <c r="G19" s="45" t="s">
        <v>56</v>
      </c>
      <c r="H19" s="45">
        <v>2</v>
      </c>
      <c r="I19" s="47">
        <v>699.99</v>
      </c>
      <c r="J19" s="45" t="s">
        <v>57</v>
      </c>
      <c r="K19" s="45" t="s">
        <v>77</v>
      </c>
      <c r="L19" s="45" t="s">
        <v>59</v>
      </c>
      <c r="M19" s="46">
        <v>44781</v>
      </c>
      <c r="N19" s="47">
        <v>1399.98</v>
      </c>
      <c r="O19" s="48">
        <f>EOMONTH(B19,0)</f>
        <v>45412</v>
      </c>
      <c r="P19" s="49" t="str">
        <f>"Q"&amp;ROUNDUP(MONTH(B19)/3,0)&amp;"-"&amp;YEAR(B19)</f>
        <v>Q2-2024</v>
      </c>
      <c r="Q19" s="50">
        <f ca="1">TODAY()-B19</f>
        <v>914</v>
      </c>
      <c r="R19" s="50">
        <f>COUNTIF($C$2:C19,C19)</f>
        <v>1</v>
      </c>
      <c r="S19" s="50">
        <v>18</v>
      </c>
    </row>
    <row r="20" spans="1:19">
      <c r="A20" s="45" t="s">
        <v>127</v>
      </c>
      <c r="B20" s="46">
        <v>45410</v>
      </c>
      <c r="C20" s="45" t="s">
        <v>123</v>
      </c>
      <c r="D20" s="45" t="s">
        <v>24</v>
      </c>
      <c r="E20" s="45" t="s">
        <v>98</v>
      </c>
      <c r="F20" s="45" t="s">
        <v>99</v>
      </c>
      <c r="G20" s="45" t="s">
        <v>56</v>
      </c>
      <c r="H20" s="45">
        <v>4</v>
      </c>
      <c r="I20" s="47">
        <v>899.99</v>
      </c>
      <c r="J20" s="45" t="s">
        <v>63</v>
      </c>
      <c r="K20" s="45" t="s">
        <v>87</v>
      </c>
      <c r="L20" s="45" t="s">
        <v>73</v>
      </c>
      <c r="M20" s="46">
        <v>45327</v>
      </c>
      <c r="N20" s="47">
        <v>3599.96</v>
      </c>
      <c r="O20" s="48">
        <f>EOMONTH(B20,0)</f>
        <v>45412</v>
      </c>
      <c r="P20" s="49" t="str">
        <f>"Q"&amp;ROUNDUP(MONTH(B20)/3,0)&amp;"-"&amp;YEAR(B20)</f>
        <v>Q2-2024</v>
      </c>
      <c r="Q20" s="50">
        <f ca="1">TODAY()-B20</f>
        <v>914</v>
      </c>
      <c r="R20" s="50">
        <f>COUNTIF($C$2:C20,C20)</f>
        <v>2</v>
      </c>
      <c r="S20" s="50">
        <v>19</v>
      </c>
    </row>
    <row r="21" spans="1:19">
      <c r="A21" s="45" t="s">
        <v>128</v>
      </c>
      <c r="B21" s="46">
        <v>45410</v>
      </c>
      <c r="C21" s="45" t="s">
        <v>129</v>
      </c>
      <c r="D21" s="45" t="s">
        <v>130</v>
      </c>
      <c r="E21" s="45" t="s">
        <v>54</v>
      </c>
      <c r="F21" s="45" t="s">
        <v>55</v>
      </c>
      <c r="G21" s="45" t="s">
        <v>56</v>
      </c>
      <c r="H21" s="45">
        <v>3</v>
      </c>
      <c r="I21" s="47">
        <v>249.99</v>
      </c>
      <c r="J21" s="45" t="s">
        <v>63</v>
      </c>
      <c r="K21" s="45" t="s">
        <v>77</v>
      </c>
      <c r="L21" s="45" t="s">
        <v>64</v>
      </c>
      <c r="M21" s="46">
        <v>45224</v>
      </c>
      <c r="N21" s="47">
        <v>749.97</v>
      </c>
      <c r="O21" s="48">
        <f>EOMONTH(B21,0)</f>
        <v>45412</v>
      </c>
      <c r="P21" s="49" t="str">
        <f>"Q"&amp;ROUNDUP(MONTH(B21)/3,0)&amp;"-"&amp;YEAR(B21)</f>
        <v>Q2-2024</v>
      </c>
      <c r="Q21" s="50">
        <f ca="1">TODAY()-B21</f>
        <v>914</v>
      </c>
      <c r="R21" s="50">
        <f>COUNTIF($C$2:C21,C21)</f>
        <v>1</v>
      </c>
      <c r="S21" s="50">
        <v>20</v>
      </c>
    </row>
    <row r="22" spans="1:19">
      <c r="A22" s="45" t="s">
        <v>131</v>
      </c>
      <c r="B22" s="46">
        <v>45412</v>
      </c>
      <c r="C22" s="45" t="s">
        <v>132</v>
      </c>
      <c r="D22" s="45" t="s">
        <v>28</v>
      </c>
      <c r="E22" s="45" t="s">
        <v>117</v>
      </c>
      <c r="F22" s="45" t="s">
        <v>118</v>
      </c>
      <c r="G22" s="45" t="s">
        <v>56</v>
      </c>
      <c r="H22" s="45">
        <v>5</v>
      </c>
      <c r="I22" s="47">
        <v>699.99</v>
      </c>
      <c r="J22" s="45" t="s">
        <v>57</v>
      </c>
      <c r="K22" s="45" t="s">
        <v>87</v>
      </c>
      <c r="L22" s="45" t="s">
        <v>59</v>
      </c>
      <c r="M22" s="46">
        <v>45167</v>
      </c>
      <c r="N22" s="47">
        <v>3499.95</v>
      </c>
      <c r="O22" s="48">
        <f>EOMONTH(B22,0)</f>
        <v>45412</v>
      </c>
      <c r="P22" s="49" t="str">
        <f>"Q"&amp;ROUNDUP(MONTH(B22)/3,0)&amp;"-"&amp;YEAR(B22)</f>
        <v>Q2-2024</v>
      </c>
      <c r="Q22" s="50">
        <f ca="1">TODAY()-B22</f>
        <v>912</v>
      </c>
      <c r="R22" s="50">
        <f>COUNTIF($C$2:C22,C22)</f>
        <v>1</v>
      </c>
      <c r="S22" s="50">
        <v>21</v>
      </c>
    </row>
    <row r="23" spans="1:19">
      <c r="A23" s="45" t="s">
        <v>133</v>
      </c>
      <c r="B23" s="46">
        <v>45413</v>
      </c>
      <c r="C23" s="45" t="s">
        <v>134</v>
      </c>
      <c r="D23" s="45" t="s">
        <v>30</v>
      </c>
      <c r="E23" s="45" t="s">
        <v>117</v>
      </c>
      <c r="F23" s="45" t="s">
        <v>118</v>
      </c>
      <c r="G23" s="45" t="s">
        <v>56</v>
      </c>
      <c r="H23" s="45">
        <v>4</v>
      </c>
      <c r="I23" s="47">
        <v>699.99</v>
      </c>
      <c r="J23" s="45" t="s">
        <v>57</v>
      </c>
      <c r="K23" s="45" t="s">
        <v>100</v>
      </c>
      <c r="L23" s="45" t="s">
        <v>73</v>
      </c>
      <c r="M23" s="46">
        <v>44409</v>
      </c>
      <c r="N23" s="47">
        <v>2799.96</v>
      </c>
      <c r="O23" s="48">
        <f>EOMONTH(B23,0)</f>
        <v>45443</v>
      </c>
      <c r="P23" s="49" t="str">
        <f>"Q"&amp;ROUNDUP(MONTH(B23)/3,0)&amp;"-"&amp;YEAR(B23)</f>
        <v>Q2-2024</v>
      </c>
      <c r="Q23" s="50">
        <f ca="1">TODAY()-B23</f>
        <v>911</v>
      </c>
      <c r="R23" s="50">
        <f>COUNTIF($C$2:C23,C23)</f>
        <v>1</v>
      </c>
      <c r="S23" s="50">
        <v>22</v>
      </c>
    </row>
    <row r="24" spans="1:19">
      <c r="A24" s="45" t="s">
        <v>135</v>
      </c>
      <c r="B24" s="46">
        <v>45415</v>
      </c>
      <c r="C24" s="45" t="s">
        <v>136</v>
      </c>
      <c r="D24" s="45" t="s">
        <v>137</v>
      </c>
      <c r="E24" s="45" t="s">
        <v>54</v>
      </c>
      <c r="F24" s="45" t="s">
        <v>55</v>
      </c>
      <c r="G24" s="45" t="s">
        <v>56</v>
      </c>
      <c r="H24" s="45">
        <v>4</v>
      </c>
      <c r="I24" s="47">
        <v>249.99</v>
      </c>
      <c r="J24" s="45" t="s">
        <v>71</v>
      </c>
      <c r="K24" s="45" t="s">
        <v>77</v>
      </c>
      <c r="L24" s="45" t="s">
        <v>73</v>
      </c>
      <c r="M24" s="46">
        <v>44468</v>
      </c>
      <c r="N24" s="47">
        <v>999.96</v>
      </c>
      <c r="O24" s="48">
        <f>EOMONTH(B24,0)</f>
        <v>45443</v>
      </c>
      <c r="P24" s="49" t="str">
        <f>"Q"&amp;ROUNDUP(MONTH(B24)/3,0)&amp;"-"&amp;YEAR(B24)</f>
        <v>Q2-2024</v>
      </c>
      <c r="Q24" s="50">
        <f ca="1">TODAY()-B24</f>
        <v>909</v>
      </c>
      <c r="R24" s="50">
        <f>COUNTIF($C$2:C24,C24)</f>
        <v>1</v>
      </c>
      <c r="S24" s="50">
        <v>23</v>
      </c>
    </row>
    <row r="25" spans="1:19">
      <c r="A25" s="45" t="s">
        <v>138</v>
      </c>
      <c r="B25" s="46">
        <v>45416</v>
      </c>
      <c r="C25" s="45" t="s">
        <v>123</v>
      </c>
      <c r="D25" s="45" t="s">
        <v>24</v>
      </c>
      <c r="E25" s="45" t="s">
        <v>139</v>
      </c>
      <c r="F25" s="45" t="s">
        <v>140</v>
      </c>
      <c r="G25" s="45" t="s">
        <v>83</v>
      </c>
      <c r="H25" s="45">
        <v>4</v>
      </c>
      <c r="I25" s="47">
        <v>299.99</v>
      </c>
      <c r="J25" s="45" t="s">
        <v>57</v>
      </c>
      <c r="K25" s="45" t="s">
        <v>87</v>
      </c>
      <c r="L25" s="45" t="s">
        <v>64</v>
      </c>
      <c r="M25" s="46">
        <v>44716</v>
      </c>
      <c r="N25" s="47">
        <v>1199.96</v>
      </c>
      <c r="O25" s="48">
        <f>EOMONTH(B25,0)</f>
        <v>45443</v>
      </c>
      <c r="P25" s="49" t="str">
        <f>"Q"&amp;ROUNDUP(MONTH(B25)/3,0)&amp;"-"&amp;YEAR(B25)</f>
        <v>Q2-2024</v>
      </c>
      <c r="Q25" s="50">
        <f ca="1">TODAY()-B25</f>
        <v>908</v>
      </c>
      <c r="R25" s="50">
        <f>COUNTIF($C$2:C25,C25)</f>
        <v>3</v>
      </c>
      <c r="S25" s="50">
        <v>24</v>
      </c>
    </row>
    <row r="26" spans="1:19">
      <c r="A26" s="45" t="s">
        <v>141</v>
      </c>
      <c r="B26" s="46">
        <v>45422</v>
      </c>
      <c r="C26" s="45" t="s">
        <v>142</v>
      </c>
      <c r="D26" s="45" t="s">
        <v>143</v>
      </c>
      <c r="E26" s="45" t="s">
        <v>54</v>
      </c>
      <c r="F26" s="45" t="s">
        <v>55</v>
      </c>
      <c r="G26" s="45" t="s">
        <v>56</v>
      </c>
      <c r="H26" s="45">
        <v>5</v>
      </c>
      <c r="I26" s="47">
        <v>249.99</v>
      </c>
      <c r="J26" s="45" t="s">
        <v>63</v>
      </c>
      <c r="K26" s="45" t="s">
        <v>87</v>
      </c>
      <c r="L26" s="45" t="s">
        <v>73</v>
      </c>
      <c r="M26" s="46">
        <v>44525</v>
      </c>
      <c r="N26" s="47">
        <v>1249.95</v>
      </c>
      <c r="O26" s="48">
        <f>EOMONTH(B26,0)</f>
        <v>45443</v>
      </c>
      <c r="P26" s="49" t="str">
        <f>"Q"&amp;ROUNDUP(MONTH(B26)/3,0)&amp;"-"&amp;YEAR(B26)</f>
        <v>Q2-2024</v>
      </c>
      <c r="Q26" s="50">
        <f ca="1">TODAY()-B26</f>
        <v>902</v>
      </c>
      <c r="R26" s="50">
        <f>COUNTIF($C$2:C26,C26)</f>
        <v>1</v>
      </c>
      <c r="S26" s="50">
        <v>25</v>
      </c>
    </row>
    <row r="27" spans="1:19">
      <c r="A27" s="45" t="s">
        <v>144</v>
      </c>
      <c r="B27" s="46">
        <v>45424</v>
      </c>
      <c r="C27" s="45" t="s">
        <v>105</v>
      </c>
      <c r="D27" s="45" t="s">
        <v>106</v>
      </c>
      <c r="E27" s="45" t="s">
        <v>139</v>
      </c>
      <c r="F27" s="45" t="s">
        <v>140</v>
      </c>
      <c r="G27" s="45" t="s">
        <v>83</v>
      </c>
      <c r="H27" s="45">
        <v>5</v>
      </c>
      <c r="I27" s="47">
        <v>299.99</v>
      </c>
      <c r="J27" s="45" t="s">
        <v>71</v>
      </c>
      <c r="K27" s="45" t="s">
        <v>100</v>
      </c>
      <c r="L27" s="45" t="s">
        <v>59</v>
      </c>
      <c r="M27" s="46">
        <v>45168</v>
      </c>
      <c r="N27" s="47">
        <v>1499.95</v>
      </c>
      <c r="O27" s="48">
        <f>EOMONTH(B27,0)</f>
        <v>45443</v>
      </c>
      <c r="P27" s="49" t="str">
        <f>"Q"&amp;ROUNDUP(MONTH(B27)/3,0)&amp;"-"&amp;YEAR(B27)</f>
        <v>Q2-2024</v>
      </c>
      <c r="Q27" s="50">
        <f ca="1">TODAY()-B27</f>
        <v>900</v>
      </c>
      <c r="R27" s="50">
        <f>COUNTIF($C$2:C27,C27)</f>
        <v>2</v>
      </c>
      <c r="S27" s="50">
        <v>26</v>
      </c>
    </row>
    <row r="28" spans="1:19">
      <c r="A28" s="45" t="s">
        <v>145</v>
      </c>
      <c r="B28" s="46">
        <v>45424</v>
      </c>
      <c r="C28" s="45" t="s">
        <v>146</v>
      </c>
      <c r="D28" s="45" t="s">
        <v>147</v>
      </c>
      <c r="E28" s="45" t="s">
        <v>148</v>
      </c>
      <c r="F28" s="45" t="s">
        <v>149</v>
      </c>
      <c r="G28" s="45" t="s">
        <v>70</v>
      </c>
      <c r="H28" s="45">
        <v>3</v>
      </c>
      <c r="I28" s="47">
        <v>79.989999999999995</v>
      </c>
      <c r="J28" s="45" t="s">
        <v>71</v>
      </c>
      <c r="K28" s="45" t="s">
        <v>100</v>
      </c>
      <c r="L28" s="45" t="s">
        <v>64</v>
      </c>
      <c r="M28" s="46">
        <v>45012</v>
      </c>
      <c r="N28" s="47">
        <v>239.97</v>
      </c>
      <c r="O28" s="48">
        <f>EOMONTH(B28,0)</f>
        <v>45443</v>
      </c>
      <c r="P28" s="49" t="str">
        <f>"Q"&amp;ROUNDUP(MONTH(B28)/3,0)&amp;"-"&amp;YEAR(B28)</f>
        <v>Q2-2024</v>
      </c>
      <c r="Q28" s="50">
        <f ca="1">TODAY()-B28</f>
        <v>900</v>
      </c>
      <c r="R28" s="50">
        <f>COUNTIF($C$2:C28,C28)</f>
        <v>1</v>
      </c>
      <c r="S28" s="50">
        <v>27</v>
      </c>
    </row>
    <row r="29" spans="1:19">
      <c r="A29" s="45" t="s">
        <v>150</v>
      </c>
      <c r="B29" s="46">
        <v>45424</v>
      </c>
      <c r="C29" s="45" t="s">
        <v>134</v>
      </c>
      <c r="D29" s="45" t="s">
        <v>30</v>
      </c>
      <c r="E29" s="45" t="s">
        <v>151</v>
      </c>
      <c r="F29" s="45" t="s">
        <v>152</v>
      </c>
      <c r="G29" s="45" t="s">
        <v>56</v>
      </c>
      <c r="H29" s="45">
        <v>5</v>
      </c>
      <c r="I29" s="47">
        <v>89.99</v>
      </c>
      <c r="J29" s="45" t="s">
        <v>57</v>
      </c>
      <c r="K29" s="45" t="s">
        <v>77</v>
      </c>
      <c r="L29" s="45" t="s">
        <v>64</v>
      </c>
      <c r="M29" s="46">
        <v>44919</v>
      </c>
      <c r="N29" s="47">
        <v>449.95</v>
      </c>
      <c r="O29" s="48">
        <f>EOMONTH(B29,0)</f>
        <v>45443</v>
      </c>
      <c r="P29" s="49" t="str">
        <f>"Q"&amp;ROUNDUP(MONTH(B29)/3,0)&amp;"-"&amp;YEAR(B29)</f>
        <v>Q2-2024</v>
      </c>
      <c r="Q29" s="50">
        <f ca="1">TODAY()-B29</f>
        <v>900</v>
      </c>
      <c r="R29" s="50">
        <f>COUNTIF($C$2:C29,C29)</f>
        <v>2</v>
      </c>
      <c r="S29" s="50">
        <v>28</v>
      </c>
    </row>
    <row r="30" spans="1:19">
      <c r="A30" s="45" t="s">
        <v>153</v>
      </c>
      <c r="B30" s="46">
        <v>45425</v>
      </c>
      <c r="C30" s="45" t="s">
        <v>154</v>
      </c>
      <c r="D30" s="45" t="s">
        <v>155</v>
      </c>
      <c r="E30" s="45" t="s">
        <v>68</v>
      </c>
      <c r="F30" s="45" t="s">
        <v>69</v>
      </c>
      <c r="G30" s="45" t="s">
        <v>70</v>
      </c>
      <c r="H30" s="45">
        <v>2</v>
      </c>
      <c r="I30" s="47">
        <v>59.99</v>
      </c>
      <c r="J30" s="45" t="s">
        <v>94</v>
      </c>
      <c r="K30" s="45" t="s">
        <v>58</v>
      </c>
      <c r="L30" s="45" t="s">
        <v>73</v>
      </c>
      <c r="M30" s="46">
        <v>45214</v>
      </c>
      <c r="N30" s="47">
        <v>119.98</v>
      </c>
      <c r="O30" s="48">
        <f>EOMONTH(B30,0)</f>
        <v>45443</v>
      </c>
      <c r="P30" s="49" t="str">
        <f>"Q"&amp;ROUNDUP(MONTH(B30)/3,0)&amp;"-"&amp;YEAR(B30)</f>
        <v>Q2-2024</v>
      </c>
      <c r="Q30" s="50">
        <f ca="1">TODAY()-B30</f>
        <v>899</v>
      </c>
      <c r="R30" s="50">
        <f>COUNTIF($C$2:C30,C30)</f>
        <v>1</v>
      </c>
      <c r="S30" s="50">
        <v>29</v>
      </c>
    </row>
    <row r="31" spans="1:19">
      <c r="A31" s="45" t="s">
        <v>156</v>
      </c>
      <c r="B31" s="46">
        <v>45427</v>
      </c>
      <c r="C31" s="45" t="s">
        <v>157</v>
      </c>
      <c r="D31" s="45" t="s">
        <v>26</v>
      </c>
      <c r="E31" s="45" t="s">
        <v>68</v>
      </c>
      <c r="F31" s="45" t="s">
        <v>69</v>
      </c>
      <c r="G31" s="45" t="s">
        <v>70</v>
      </c>
      <c r="H31" s="45">
        <v>4</v>
      </c>
      <c r="I31" s="47">
        <v>59.99</v>
      </c>
      <c r="J31" s="45" t="s">
        <v>94</v>
      </c>
      <c r="K31" s="45" t="s">
        <v>100</v>
      </c>
      <c r="L31" s="45" t="s">
        <v>73</v>
      </c>
      <c r="M31" s="46">
        <v>44867</v>
      </c>
      <c r="N31" s="47">
        <v>239.96</v>
      </c>
      <c r="O31" s="48">
        <f>EOMONTH(B31,0)</f>
        <v>45443</v>
      </c>
      <c r="P31" s="49" t="str">
        <f>"Q"&amp;ROUNDUP(MONTH(B31)/3,0)&amp;"-"&amp;YEAR(B31)</f>
        <v>Q2-2024</v>
      </c>
      <c r="Q31" s="50">
        <f ca="1">TODAY()-B31</f>
        <v>897</v>
      </c>
      <c r="R31" s="50">
        <f>COUNTIF($C$2:C31,C31)</f>
        <v>1</v>
      </c>
      <c r="S31" s="50">
        <v>30</v>
      </c>
    </row>
    <row r="32" spans="1:19">
      <c r="A32" s="45" t="s">
        <v>158</v>
      </c>
      <c r="B32" s="46">
        <v>45427</v>
      </c>
      <c r="C32" s="45" t="s">
        <v>92</v>
      </c>
      <c r="D32" s="45" t="s">
        <v>93</v>
      </c>
      <c r="E32" s="45" t="s">
        <v>159</v>
      </c>
      <c r="F32" s="45" t="s">
        <v>160</v>
      </c>
      <c r="G32" s="45" t="s">
        <v>83</v>
      </c>
      <c r="H32" s="45">
        <v>5</v>
      </c>
      <c r="I32" s="47">
        <v>199.99</v>
      </c>
      <c r="J32" s="45" t="s">
        <v>57</v>
      </c>
      <c r="K32" s="45" t="s">
        <v>72</v>
      </c>
      <c r="L32" s="45" t="s">
        <v>73</v>
      </c>
      <c r="M32" s="46">
        <v>44412</v>
      </c>
      <c r="N32" s="47">
        <v>999.95</v>
      </c>
      <c r="O32" s="48">
        <f>EOMONTH(B32,0)</f>
        <v>45443</v>
      </c>
      <c r="P32" s="49" t="str">
        <f>"Q"&amp;ROUNDUP(MONTH(B32)/3,0)&amp;"-"&amp;YEAR(B32)</f>
        <v>Q2-2024</v>
      </c>
      <c r="Q32" s="50">
        <f ca="1">TODAY()-B32</f>
        <v>897</v>
      </c>
      <c r="R32" s="50">
        <f>COUNTIF($C$2:C32,C32)</f>
        <v>2</v>
      </c>
      <c r="S32" s="50">
        <v>31</v>
      </c>
    </row>
    <row r="33" spans="1:19">
      <c r="A33" s="45" t="s">
        <v>161</v>
      </c>
      <c r="B33" s="46">
        <v>45428</v>
      </c>
      <c r="C33" s="45" t="s">
        <v>162</v>
      </c>
      <c r="D33" s="45" t="s">
        <v>163</v>
      </c>
      <c r="E33" s="45" t="s">
        <v>81</v>
      </c>
      <c r="F33" s="45" t="s">
        <v>82</v>
      </c>
      <c r="G33" s="45" t="s">
        <v>83</v>
      </c>
      <c r="H33" s="45">
        <v>2</v>
      </c>
      <c r="I33" s="47">
        <v>149.99</v>
      </c>
      <c r="J33" s="45" t="s">
        <v>63</v>
      </c>
      <c r="K33" s="45" t="s">
        <v>87</v>
      </c>
      <c r="L33" s="45" t="s">
        <v>59</v>
      </c>
      <c r="M33" s="46">
        <v>44823</v>
      </c>
      <c r="N33" s="47">
        <v>299.98</v>
      </c>
      <c r="O33" s="48">
        <f>EOMONTH(B33,0)</f>
        <v>45443</v>
      </c>
      <c r="P33" s="49" t="str">
        <f>"Q"&amp;ROUNDUP(MONTH(B33)/3,0)&amp;"-"&amp;YEAR(B33)</f>
        <v>Q2-2024</v>
      </c>
      <c r="Q33" s="50">
        <f ca="1">TODAY()-B33</f>
        <v>896</v>
      </c>
      <c r="R33" s="50">
        <f>COUNTIF($C$2:C33,C33)</f>
        <v>1</v>
      </c>
      <c r="S33" s="50">
        <v>32</v>
      </c>
    </row>
    <row r="34" spans="1:19">
      <c r="A34" s="45" t="s">
        <v>164</v>
      </c>
      <c r="B34" s="46">
        <v>45430</v>
      </c>
      <c r="C34" s="45" t="s">
        <v>165</v>
      </c>
      <c r="D34" s="45" t="s">
        <v>166</v>
      </c>
      <c r="E34" s="45" t="s">
        <v>81</v>
      </c>
      <c r="F34" s="45" t="s">
        <v>82</v>
      </c>
      <c r="G34" s="45" t="s">
        <v>83</v>
      </c>
      <c r="H34" s="45">
        <v>3</v>
      </c>
      <c r="I34" s="47">
        <v>149.99</v>
      </c>
      <c r="J34" s="45" t="s">
        <v>63</v>
      </c>
      <c r="K34" s="45" t="s">
        <v>87</v>
      </c>
      <c r="L34" s="45" t="s">
        <v>64</v>
      </c>
      <c r="M34" s="46">
        <v>45068</v>
      </c>
      <c r="N34" s="47">
        <v>449.97</v>
      </c>
      <c r="O34" s="48">
        <f>EOMONTH(B34,0)</f>
        <v>45443</v>
      </c>
      <c r="P34" s="49" t="str">
        <f>"Q"&amp;ROUNDUP(MONTH(B34)/3,0)&amp;"-"&amp;YEAR(B34)</f>
        <v>Q2-2024</v>
      </c>
      <c r="Q34" s="50">
        <f ca="1">TODAY()-B34</f>
        <v>894</v>
      </c>
      <c r="R34" s="50">
        <f>COUNTIF($C$2:C34,C34)</f>
        <v>1</v>
      </c>
      <c r="S34" s="50">
        <v>33</v>
      </c>
    </row>
    <row r="35" spans="1:19">
      <c r="A35" s="45" t="s">
        <v>167</v>
      </c>
      <c r="B35" s="46">
        <v>45432</v>
      </c>
      <c r="C35" s="45" t="s">
        <v>66</v>
      </c>
      <c r="D35" s="45" t="s">
        <v>67</v>
      </c>
      <c r="E35" s="45" t="s">
        <v>98</v>
      </c>
      <c r="F35" s="45" t="s">
        <v>99</v>
      </c>
      <c r="G35" s="45" t="s">
        <v>56</v>
      </c>
      <c r="H35" s="45">
        <v>1</v>
      </c>
      <c r="I35" s="47">
        <v>899.99</v>
      </c>
      <c r="J35" s="45" t="s">
        <v>63</v>
      </c>
      <c r="K35" s="45" t="s">
        <v>87</v>
      </c>
      <c r="L35" s="45" t="s">
        <v>64</v>
      </c>
      <c r="M35" s="46">
        <v>44578</v>
      </c>
      <c r="N35" s="47">
        <v>899.99</v>
      </c>
      <c r="O35" s="48">
        <f>EOMONTH(B35,0)</f>
        <v>45443</v>
      </c>
      <c r="P35" s="49" t="str">
        <f>"Q"&amp;ROUNDUP(MONTH(B35)/3,0)&amp;"-"&amp;YEAR(B35)</f>
        <v>Q2-2024</v>
      </c>
      <c r="Q35" s="50">
        <f ca="1">TODAY()-B35</f>
        <v>892</v>
      </c>
      <c r="R35" s="50">
        <f>COUNTIF($C$2:C35,C35)</f>
        <v>2</v>
      </c>
      <c r="S35" s="50">
        <v>34</v>
      </c>
    </row>
    <row r="36" spans="1:19">
      <c r="A36" s="45" t="s">
        <v>168</v>
      </c>
      <c r="B36" s="46">
        <v>45434</v>
      </c>
      <c r="C36" s="45" t="s">
        <v>134</v>
      </c>
      <c r="D36" s="45" t="s">
        <v>30</v>
      </c>
      <c r="E36" s="45" t="s">
        <v>139</v>
      </c>
      <c r="F36" s="45" t="s">
        <v>140</v>
      </c>
      <c r="G36" s="45" t="s">
        <v>83</v>
      </c>
      <c r="H36" s="45">
        <v>3</v>
      </c>
      <c r="I36" s="47">
        <v>299.99</v>
      </c>
      <c r="J36" s="45" t="s">
        <v>63</v>
      </c>
      <c r="K36" s="45" t="s">
        <v>100</v>
      </c>
      <c r="L36" s="45" t="s">
        <v>59</v>
      </c>
      <c r="M36" s="46">
        <v>44824</v>
      </c>
      <c r="N36" s="47">
        <v>899.97</v>
      </c>
      <c r="O36" s="48">
        <f>EOMONTH(B36,0)</f>
        <v>45443</v>
      </c>
      <c r="P36" s="49" t="str">
        <f>"Q"&amp;ROUNDUP(MONTH(B36)/3,0)&amp;"-"&amp;YEAR(B36)</f>
        <v>Q2-2024</v>
      </c>
      <c r="Q36" s="50">
        <f ca="1">TODAY()-B36</f>
        <v>890</v>
      </c>
      <c r="R36" s="50">
        <f>COUNTIF($C$2:C36,C36)</f>
        <v>3</v>
      </c>
      <c r="S36" s="50">
        <v>35</v>
      </c>
    </row>
    <row r="37" spans="1:19">
      <c r="A37" s="45" t="s">
        <v>169</v>
      </c>
      <c r="B37" s="46">
        <v>45435</v>
      </c>
      <c r="C37" s="45" t="s">
        <v>162</v>
      </c>
      <c r="D37" s="45" t="s">
        <v>163</v>
      </c>
      <c r="E37" s="45" t="s">
        <v>148</v>
      </c>
      <c r="F37" s="45" t="s">
        <v>149</v>
      </c>
      <c r="G37" s="45" t="s">
        <v>70</v>
      </c>
      <c r="H37" s="45">
        <v>3</v>
      </c>
      <c r="I37" s="47">
        <v>79.989999999999995</v>
      </c>
      <c r="J37" s="45" t="s">
        <v>57</v>
      </c>
      <c r="K37" s="45" t="s">
        <v>72</v>
      </c>
      <c r="L37" s="45" t="s">
        <v>59</v>
      </c>
      <c r="M37" s="46">
        <v>45046</v>
      </c>
      <c r="N37" s="47">
        <v>239.97</v>
      </c>
      <c r="O37" s="48">
        <f>EOMONTH(B37,0)</f>
        <v>45443</v>
      </c>
      <c r="P37" s="49" t="str">
        <f>"Q"&amp;ROUNDUP(MONTH(B37)/3,0)&amp;"-"&amp;YEAR(B37)</f>
        <v>Q2-2024</v>
      </c>
      <c r="Q37" s="50">
        <f ca="1">TODAY()-B37</f>
        <v>889</v>
      </c>
      <c r="R37" s="50">
        <f>COUNTIF($C$2:C37,C37)</f>
        <v>2</v>
      </c>
      <c r="S37" s="50">
        <v>36</v>
      </c>
    </row>
    <row r="38" spans="1:19">
      <c r="A38" s="45" t="s">
        <v>170</v>
      </c>
      <c r="B38" s="46">
        <v>45438</v>
      </c>
      <c r="C38" s="45" t="s">
        <v>171</v>
      </c>
      <c r="D38" s="45" t="s">
        <v>172</v>
      </c>
      <c r="E38" s="45" t="s">
        <v>159</v>
      </c>
      <c r="F38" s="45" t="s">
        <v>160</v>
      </c>
      <c r="G38" s="45" t="s">
        <v>83</v>
      </c>
      <c r="H38" s="45">
        <v>3</v>
      </c>
      <c r="I38" s="47">
        <v>199.99</v>
      </c>
      <c r="J38" s="45" t="s">
        <v>63</v>
      </c>
      <c r="K38" s="45" t="s">
        <v>77</v>
      </c>
      <c r="L38" s="45" t="s">
        <v>64</v>
      </c>
      <c r="M38" s="46">
        <v>45292</v>
      </c>
      <c r="N38" s="47">
        <v>599.97</v>
      </c>
      <c r="O38" s="48">
        <f>EOMONTH(B38,0)</f>
        <v>45443</v>
      </c>
      <c r="P38" s="49" t="str">
        <f>"Q"&amp;ROUNDUP(MONTH(B38)/3,0)&amp;"-"&amp;YEAR(B38)</f>
        <v>Q2-2024</v>
      </c>
      <c r="Q38" s="50">
        <f ca="1">TODAY()-B38</f>
        <v>886</v>
      </c>
      <c r="R38" s="50">
        <f>COUNTIF($C$2:C38,C38)</f>
        <v>1</v>
      </c>
      <c r="S38" s="50">
        <v>37</v>
      </c>
    </row>
    <row r="39" spans="1:19">
      <c r="A39" s="45" t="s">
        <v>173</v>
      </c>
      <c r="B39" s="46">
        <v>45440</v>
      </c>
      <c r="C39" s="45" t="s">
        <v>174</v>
      </c>
      <c r="D39" s="45" t="s">
        <v>175</v>
      </c>
      <c r="E39" s="45" t="s">
        <v>117</v>
      </c>
      <c r="F39" s="45" t="s">
        <v>118</v>
      </c>
      <c r="G39" s="45" t="s">
        <v>56</v>
      </c>
      <c r="H39" s="45">
        <v>5</v>
      </c>
      <c r="I39" s="47">
        <v>699.99</v>
      </c>
      <c r="J39" s="45" t="s">
        <v>71</v>
      </c>
      <c r="K39" s="45" t="s">
        <v>87</v>
      </c>
      <c r="L39" s="45" t="s">
        <v>73</v>
      </c>
      <c r="M39" s="46">
        <v>44407</v>
      </c>
      <c r="N39" s="47">
        <v>3499.95</v>
      </c>
      <c r="O39" s="48">
        <f>EOMONTH(B39,0)</f>
        <v>45443</v>
      </c>
      <c r="P39" s="49" t="str">
        <f>"Q"&amp;ROUNDUP(MONTH(B39)/3,0)&amp;"-"&amp;YEAR(B39)</f>
        <v>Q2-2024</v>
      </c>
      <c r="Q39" s="50">
        <f ca="1">TODAY()-B39</f>
        <v>884</v>
      </c>
      <c r="R39" s="50">
        <f>COUNTIF($C$2:C39,C39)</f>
        <v>1</v>
      </c>
      <c r="S39" s="50">
        <v>38</v>
      </c>
    </row>
    <row r="40" spans="1:19">
      <c r="A40" s="45" t="s">
        <v>176</v>
      </c>
      <c r="B40" s="46">
        <v>45441</v>
      </c>
      <c r="C40" s="45" t="s">
        <v>177</v>
      </c>
      <c r="D40" s="45" t="s">
        <v>178</v>
      </c>
      <c r="E40" s="45" t="s">
        <v>151</v>
      </c>
      <c r="F40" s="45" t="s">
        <v>152</v>
      </c>
      <c r="G40" s="45" t="s">
        <v>56</v>
      </c>
      <c r="H40" s="45">
        <v>3</v>
      </c>
      <c r="I40" s="47">
        <v>89.99</v>
      </c>
      <c r="J40" s="45" t="s">
        <v>71</v>
      </c>
      <c r="K40" s="45" t="s">
        <v>58</v>
      </c>
      <c r="L40" s="45" t="s">
        <v>64</v>
      </c>
      <c r="M40" s="46">
        <v>45120</v>
      </c>
      <c r="N40" s="47">
        <v>269.97000000000003</v>
      </c>
      <c r="O40" s="48">
        <f>EOMONTH(B40,0)</f>
        <v>45443</v>
      </c>
      <c r="P40" s="49" t="str">
        <f>"Q"&amp;ROUNDUP(MONTH(B40)/3,0)&amp;"-"&amp;YEAR(B40)</f>
        <v>Q2-2024</v>
      </c>
      <c r="Q40" s="50">
        <f ca="1">TODAY()-B40</f>
        <v>883</v>
      </c>
      <c r="R40" s="50">
        <f>COUNTIF($C$2:C40,C40)</f>
        <v>1</v>
      </c>
      <c r="S40" s="50">
        <v>39</v>
      </c>
    </row>
    <row r="41" spans="1:19">
      <c r="A41" s="45" t="s">
        <v>179</v>
      </c>
      <c r="B41" s="46">
        <v>45443</v>
      </c>
      <c r="C41" s="45" t="s">
        <v>180</v>
      </c>
      <c r="D41" s="45" t="s">
        <v>181</v>
      </c>
      <c r="E41" s="45" t="s">
        <v>148</v>
      </c>
      <c r="F41" s="45" t="s">
        <v>149</v>
      </c>
      <c r="G41" s="45" t="s">
        <v>70</v>
      </c>
      <c r="H41" s="45">
        <v>1</v>
      </c>
      <c r="I41" s="47">
        <v>79.989999999999995</v>
      </c>
      <c r="J41" s="45" t="s">
        <v>57</v>
      </c>
      <c r="K41" s="45" t="s">
        <v>77</v>
      </c>
      <c r="L41" s="45" t="s">
        <v>73</v>
      </c>
      <c r="M41" s="46">
        <v>44917</v>
      </c>
      <c r="N41" s="47">
        <v>79.989999999999995</v>
      </c>
      <c r="O41" s="48">
        <f>EOMONTH(B41,0)</f>
        <v>45443</v>
      </c>
      <c r="P41" s="49" t="str">
        <f>"Q"&amp;ROUNDUP(MONTH(B41)/3,0)&amp;"-"&amp;YEAR(B41)</f>
        <v>Q2-2024</v>
      </c>
      <c r="Q41" s="50">
        <f ca="1">TODAY()-B41</f>
        <v>881</v>
      </c>
      <c r="R41" s="50">
        <f>COUNTIF($C$2:C41,C41)</f>
        <v>1</v>
      </c>
      <c r="S41" s="50">
        <v>40</v>
      </c>
    </row>
    <row r="42" spans="1:19">
      <c r="A42" s="45" t="s">
        <v>182</v>
      </c>
      <c r="B42" s="46">
        <v>45444</v>
      </c>
      <c r="C42" s="45" t="s">
        <v>183</v>
      </c>
      <c r="D42" s="45" t="s">
        <v>184</v>
      </c>
      <c r="E42" s="45" t="s">
        <v>68</v>
      </c>
      <c r="F42" s="45" t="s">
        <v>69</v>
      </c>
      <c r="G42" s="45" t="s">
        <v>70</v>
      </c>
      <c r="H42" s="45">
        <v>2</v>
      </c>
      <c r="I42" s="47">
        <v>59.99</v>
      </c>
      <c r="J42" s="45" t="s">
        <v>57</v>
      </c>
      <c r="K42" s="45" t="s">
        <v>87</v>
      </c>
      <c r="L42" s="45" t="s">
        <v>59</v>
      </c>
      <c r="M42" s="46">
        <v>45390</v>
      </c>
      <c r="N42" s="47">
        <v>119.98</v>
      </c>
      <c r="O42" s="48">
        <f>EOMONTH(B42,0)</f>
        <v>45473</v>
      </c>
      <c r="P42" s="49" t="str">
        <f>"Q"&amp;ROUNDUP(MONTH(B42)/3,0)&amp;"-"&amp;YEAR(B42)</f>
        <v>Q2-2024</v>
      </c>
      <c r="Q42" s="50">
        <f ca="1">TODAY()-B42</f>
        <v>880</v>
      </c>
      <c r="R42" s="50">
        <f>COUNTIF($C$2:C42,C42)</f>
        <v>1</v>
      </c>
      <c r="S42" s="50">
        <v>41</v>
      </c>
    </row>
    <row r="43" spans="1:19">
      <c r="A43" s="45" t="s">
        <v>185</v>
      </c>
      <c r="B43" s="46">
        <v>45444</v>
      </c>
      <c r="C43" s="45" t="s">
        <v>92</v>
      </c>
      <c r="D43" s="45" t="s">
        <v>93</v>
      </c>
      <c r="E43" s="45" t="s">
        <v>151</v>
      </c>
      <c r="F43" s="45" t="s">
        <v>152</v>
      </c>
      <c r="G43" s="45" t="s">
        <v>56</v>
      </c>
      <c r="H43" s="45">
        <v>1</v>
      </c>
      <c r="I43" s="47">
        <v>89.99</v>
      </c>
      <c r="J43" s="45" t="s">
        <v>57</v>
      </c>
      <c r="K43" s="45" t="s">
        <v>77</v>
      </c>
      <c r="L43" s="45" t="s">
        <v>59</v>
      </c>
      <c r="M43" s="46">
        <v>45141</v>
      </c>
      <c r="N43" s="47">
        <v>89.99</v>
      </c>
      <c r="O43" s="48">
        <f>EOMONTH(B43,0)</f>
        <v>45473</v>
      </c>
      <c r="P43" s="49" t="str">
        <f>"Q"&amp;ROUNDUP(MONTH(B43)/3,0)&amp;"-"&amp;YEAR(B43)</f>
        <v>Q2-2024</v>
      </c>
      <c r="Q43" s="50">
        <f ca="1">TODAY()-B43</f>
        <v>880</v>
      </c>
      <c r="R43" s="50">
        <f>COUNTIF($C$2:C43,C43)</f>
        <v>3</v>
      </c>
      <c r="S43" s="50">
        <v>42</v>
      </c>
    </row>
    <row r="44" spans="1:19">
      <c r="A44" s="45" t="s">
        <v>186</v>
      </c>
      <c r="B44" s="46">
        <v>45446</v>
      </c>
      <c r="C44" s="45" t="s">
        <v>187</v>
      </c>
      <c r="D44" s="45" t="s">
        <v>188</v>
      </c>
      <c r="E44" s="45" t="s">
        <v>151</v>
      </c>
      <c r="F44" s="45" t="s">
        <v>152</v>
      </c>
      <c r="G44" s="45" t="s">
        <v>56</v>
      </c>
      <c r="H44" s="45">
        <v>5</v>
      </c>
      <c r="I44" s="47">
        <v>89.99</v>
      </c>
      <c r="J44" s="45" t="s">
        <v>63</v>
      </c>
      <c r="K44" s="45" t="s">
        <v>100</v>
      </c>
      <c r="L44" s="45" t="s">
        <v>73</v>
      </c>
      <c r="M44" s="46">
        <v>44587</v>
      </c>
      <c r="N44" s="47">
        <v>449.95</v>
      </c>
      <c r="O44" s="48">
        <f>EOMONTH(B44,0)</f>
        <v>45473</v>
      </c>
      <c r="P44" s="49" t="str">
        <f>"Q"&amp;ROUNDUP(MONTH(B44)/3,0)&amp;"-"&amp;YEAR(B44)</f>
        <v>Q2-2024</v>
      </c>
      <c r="Q44" s="50">
        <f ca="1">TODAY()-B44</f>
        <v>878</v>
      </c>
      <c r="R44" s="50">
        <f>COUNTIF($C$2:C44,C44)</f>
        <v>1</v>
      </c>
      <c r="S44" s="50">
        <v>43</v>
      </c>
    </row>
    <row r="45" spans="1:19">
      <c r="A45" s="45" t="s">
        <v>189</v>
      </c>
      <c r="B45" s="46">
        <v>45449</v>
      </c>
      <c r="C45" s="45" t="s">
        <v>61</v>
      </c>
      <c r="D45" s="45" t="s">
        <v>62</v>
      </c>
      <c r="E45" s="45" t="s">
        <v>54</v>
      </c>
      <c r="F45" s="45" t="s">
        <v>55</v>
      </c>
      <c r="G45" s="45" t="s">
        <v>56</v>
      </c>
      <c r="H45" s="45">
        <v>5</v>
      </c>
      <c r="I45" s="47">
        <v>249.99</v>
      </c>
      <c r="J45" s="45" t="s">
        <v>63</v>
      </c>
      <c r="K45" s="45" t="s">
        <v>100</v>
      </c>
      <c r="L45" s="45" t="s">
        <v>73</v>
      </c>
      <c r="M45" s="46">
        <v>44707</v>
      </c>
      <c r="N45" s="47">
        <v>1249.95</v>
      </c>
      <c r="O45" s="48">
        <f>EOMONTH(B45,0)</f>
        <v>45473</v>
      </c>
      <c r="P45" s="49" t="str">
        <f>"Q"&amp;ROUNDUP(MONTH(B45)/3,0)&amp;"-"&amp;YEAR(B45)</f>
        <v>Q2-2024</v>
      </c>
      <c r="Q45" s="50">
        <f ca="1">TODAY()-B45</f>
        <v>875</v>
      </c>
      <c r="R45" s="50">
        <f>COUNTIF($C$2:C45,C45)</f>
        <v>2</v>
      </c>
      <c r="S45" s="50">
        <v>44</v>
      </c>
    </row>
    <row r="46" spans="1:19">
      <c r="A46" s="45" t="s">
        <v>190</v>
      </c>
      <c r="B46" s="46">
        <v>45449</v>
      </c>
      <c r="C46" s="45" t="s">
        <v>191</v>
      </c>
      <c r="D46" s="45" t="s">
        <v>192</v>
      </c>
      <c r="E46" s="45" t="s">
        <v>151</v>
      </c>
      <c r="F46" s="45" t="s">
        <v>152</v>
      </c>
      <c r="G46" s="45" t="s">
        <v>56</v>
      </c>
      <c r="H46" s="45">
        <v>1</v>
      </c>
      <c r="I46" s="47">
        <v>89.99</v>
      </c>
      <c r="J46" s="45" t="s">
        <v>63</v>
      </c>
      <c r="K46" s="45" t="s">
        <v>72</v>
      </c>
      <c r="L46" s="45" t="s">
        <v>73</v>
      </c>
      <c r="M46" s="46">
        <v>44582</v>
      </c>
      <c r="N46" s="47">
        <v>89.99</v>
      </c>
      <c r="O46" s="48">
        <f>EOMONTH(B46,0)</f>
        <v>45473</v>
      </c>
      <c r="P46" s="49" t="str">
        <f>"Q"&amp;ROUNDUP(MONTH(B46)/3,0)&amp;"-"&amp;YEAR(B46)</f>
        <v>Q2-2024</v>
      </c>
      <c r="Q46" s="50">
        <f ca="1">TODAY()-B46</f>
        <v>875</v>
      </c>
      <c r="R46" s="50">
        <f>COUNTIF($C$2:C46,C46)</f>
        <v>1</v>
      </c>
      <c r="S46" s="50">
        <v>45</v>
      </c>
    </row>
    <row r="47" spans="1:19">
      <c r="A47" s="45" t="s">
        <v>193</v>
      </c>
      <c r="B47" s="46">
        <v>45450</v>
      </c>
      <c r="C47" s="45" t="s">
        <v>79</v>
      </c>
      <c r="D47" s="45" t="s">
        <v>80</v>
      </c>
      <c r="E47" s="45" t="s">
        <v>81</v>
      </c>
      <c r="F47" s="45" t="s">
        <v>82</v>
      </c>
      <c r="G47" s="45" t="s">
        <v>83</v>
      </c>
      <c r="H47" s="45">
        <v>2</v>
      </c>
      <c r="I47" s="47">
        <v>149.99</v>
      </c>
      <c r="J47" s="45" t="s">
        <v>57</v>
      </c>
      <c r="K47" s="45" t="s">
        <v>100</v>
      </c>
      <c r="L47" s="45" t="s">
        <v>64</v>
      </c>
      <c r="M47" s="46">
        <v>44645</v>
      </c>
      <c r="N47" s="47">
        <v>299.98</v>
      </c>
      <c r="O47" s="48">
        <f>EOMONTH(B47,0)</f>
        <v>45473</v>
      </c>
      <c r="P47" s="49" t="str">
        <f>"Q"&amp;ROUNDUP(MONTH(B47)/3,0)&amp;"-"&amp;YEAR(B47)</f>
        <v>Q2-2024</v>
      </c>
      <c r="Q47" s="50">
        <f ca="1">TODAY()-B47</f>
        <v>874</v>
      </c>
      <c r="R47" s="50">
        <f>COUNTIF($C$2:C47,C47)</f>
        <v>2</v>
      </c>
      <c r="S47" s="50">
        <v>46</v>
      </c>
    </row>
    <row r="48" spans="1:19">
      <c r="A48" s="45" t="s">
        <v>194</v>
      </c>
      <c r="B48" s="46">
        <v>45452</v>
      </c>
      <c r="C48" s="45" t="s">
        <v>195</v>
      </c>
      <c r="D48" s="45" t="s">
        <v>196</v>
      </c>
      <c r="E48" s="45" t="s">
        <v>68</v>
      </c>
      <c r="F48" s="45" t="s">
        <v>69</v>
      </c>
      <c r="G48" s="45" t="s">
        <v>70</v>
      </c>
      <c r="H48" s="45">
        <v>4</v>
      </c>
      <c r="I48" s="47">
        <v>59.99</v>
      </c>
      <c r="J48" s="45" t="s">
        <v>57</v>
      </c>
      <c r="K48" s="45" t="s">
        <v>100</v>
      </c>
      <c r="L48" s="45" t="s">
        <v>73</v>
      </c>
      <c r="M48" s="46">
        <v>44435</v>
      </c>
      <c r="N48" s="47">
        <v>239.96</v>
      </c>
      <c r="O48" s="48">
        <f>EOMONTH(B48,0)</f>
        <v>45473</v>
      </c>
      <c r="P48" s="49" t="str">
        <f>"Q"&amp;ROUNDUP(MONTH(B48)/3,0)&amp;"-"&amp;YEAR(B48)</f>
        <v>Q2-2024</v>
      </c>
      <c r="Q48" s="50">
        <f ca="1">TODAY()-B48</f>
        <v>872</v>
      </c>
      <c r="R48" s="50">
        <f>COUNTIF($C$2:C48,C48)</f>
        <v>1</v>
      </c>
      <c r="S48" s="50">
        <v>47</v>
      </c>
    </row>
    <row r="49" spans="1:19">
      <c r="A49" s="45" t="s">
        <v>197</v>
      </c>
      <c r="B49" s="46">
        <v>45456</v>
      </c>
      <c r="C49" s="45" t="s">
        <v>162</v>
      </c>
      <c r="D49" s="45" t="s">
        <v>163</v>
      </c>
      <c r="E49" s="45" t="s">
        <v>151</v>
      </c>
      <c r="F49" s="45" t="s">
        <v>152</v>
      </c>
      <c r="G49" s="45" t="s">
        <v>56</v>
      </c>
      <c r="H49" s="45">
        <v>5</v>
      </c>
      <c r="I49" s="47">
        <v>89.99</v>
      </c>
      <c r="J49" s="45" t="s">
        <v>57</v>
      </c>
      <c r="K49" s="45" t="s">
        <v>58</v>
      </c>
      <c r="L49" s="45" t="s">
        <v>64</v>
      </c>
      <c r="M49" s="46">
        <v>44579</v>
      </c>
      <c r="N49" s="47">
        <v>449.95</v>
      </c>
      <c r="O49" s="48">
        <f>EOMONTH(B49,0)</f>
        <v>45473</v>
      </c>
      <c r="P49" s="49" t="str">
        <f>"Q"&amp;ROUNDUP(MONTH(B49)/3,0)&amp;"-"&amp;YEAR(B49)</f>
        <v>Q2-2024</v>
      </c>
      <c r="Q49" s="50">
        <f ca="1">TODAY()-B49</f>
        <v>868</v>
      </c>
      <c r="R49" s="50">
        <f>COUNTIF($C$2:C49,C49)</f>
        <v>3</v>
      </c>
      <c r="S49" s="50">
        <v>48</v>
      </c>
    </row>
    <row r="50" spans="1:19">
      <c r="A50" s="45" t="s">
        <v>198</v>
      </c>
      <c r="B50" s="46">
        <v>45459</v>
      </c>
      <c r="C50" s="45" t="s">
        <v>134</v>
      </c>
      <c r="D50" s="45" t="s">
        <v>30</v>
      </c>
      <c r="E50" s="45" t="s">
        <v>151</v>
      </c>
      <c r="F50" s="45" t="s">
        <v>152</v>
      </c>
      <c r="G50" s="45" t="s">
        <v>56</v>
      </c>
      <c r="H50" s="45">
        <v>2</v>
      </c>
      <c r="I50" s="47">
        <v>89.99</v>
      </c>
      <c r="J50" s="45" t="s">
        <v>63</v>
      </c>
      <c r="K50" s="45" t="s">
        <v>72</v>
      </c>
      <c r="L50" s="45" t="s">
        <v>64</v>
      </c>
      <c r="M50" s="46">
        <v>44471</v>
      </c>
      <c r="N50" s="47">
        <v>179.98</v>
      </c>
      <c r="O50" s="48">
        <f>EOMONTH(B50,0)</f>
        <v>45473</v>
      </c>
      <c r="P50" s="49" t="str">
        <f>"Q"&amp;ROUNDUP(MONTH(B50)/3,0)&amp;"-"&amp;YEAR(B50)</f>
        <v>Q2-2024</v>
      </c>
      <c r="Q50" s="50">
        <f ca="1">TODAY()-B50</f>
        <v>865</v>
      </c>
      <c r="R50" s="50">
        <f>COUNTIF($C$2:C50,C50)</f>
        <v>4</v>
      </c>
      <c r="S50" s="50">
        <v>49</v>
      </c>
    </row>
    <row r="51" spans="1:19">
      <c r="A51" s="45" t="s">
        <v>199</v>
      </c>
      <c r="B51" s="46">
        <v>45459</v>
      </c>
      <c r="C51" s="45" t="s">
        <v>53</v>
      </c>
      <c r="D51" s="45" t="s">
        <v>32</v>
      </c>
      <c r="E51" s="45" t="s">
        <v>98</v>
      </c>
      <c r="F51" s="45" t="s">
        <v>99</v>
      </c>
      <c r="G51" s="45" t="s">
        <v>56</v>
      </c>
      <c r="H51" s="45">
        <v>5</v>
      </c>
      <c r="I51" s="47">
        <v>899.99</v>
      </c>
      <c r="J51" s="45" t="s">
        <v>63</v>
      </c>
      <c r="K51" s="45" t="s">
        <v>72</v>
      </c>
      <c r="L51" s="45" t="s">
        <v>73</v>
      </c>
      <c r="M51" s="46">
        <v>44974</v>
      </c>
      <c r="N51" s="47">
        <v>4499.95</v>
      </c>
      <c r="O51" s="48">
        <f>EOMONTH(B51,0)</f>
        <v>45473</v>
      </c>
      <c r="P51" s="49" t="str">
        <f>"Q"&amp;ROUNDUP(MONTH(B51)/3,0)&amp;"-"&amp;YEAR(B51)</f>
        <v>Q2-2024</v>
      </c>
      <c r="Q51" s="50">
        <f ca="1">TODAY()-B51</f>
        <v>865</v>
      </c>
      <c r="R51" s="50">
        <f>COUNTIF($C$2:C51,C51)</f>
        <v>2</v>
      </c>
      <c r="S51" s="50">
        <v>50</v>
      </c>
    </row>
    <row r="52" spans="1:19">
      <c r="A52" s="45" t="s">
        <v>200</v>
      </c>
      <c r="B52" s="46">
        <v>45459</v>
      </c>
      <c r="C52" s="45" t="s">
        <v>157</v>
      </c>
      <c r="D52" s="45" t="s">
        <v>26</v>
      </c>
      <c r="E52" s="45" t="s">
        <v>98</v>
      </c>
      <c r="F52" s="45" t="s">
        <v>99</v>
      </c>
      <c r="G52" s="45" t="s">
        <v>56</v>
      </c>
      <c r="H52" s="45">
        <v>5</v>
      </c>
      <c r="I52" s="47">
        <v>899.99</v>
      </c>
      <c r="J52" s="45" t="s">
        <v>71</v>
      </c>
      <c r="K52" s="45" t="s">
        <v>100</v>
      </c>
      <c r="L52" s="45" t="s">
        <v>64</v>
      </c>
      <c r="M52" s="46">
        <v>45278</v>
      </c>
      <c r="N52" s="47">
        <v>4499.95</v>
      </c>
      <c r="O52" s="48">
        <f>EOMONTH(B52,0)</f>
        <v>45473</v>
      </c>
      <c r="P52" s="49" t="str">
        <f>"Q"&amp;ROUNDUP(MONTH(B52)/3,0)&amp;"-"&amp;YEAR(B52)</f>
        <v>Q2-2024</v>
      </c>
      <c r="Q52" s="50">
        <f ca="1">TODAY()-B52</f>
        <v>865</v>
      </c>
      <c r="R52" s="50">
        <f>COUNTIF($C$2:C52,C52)</f>
        <v>2</v>
      </c>
      <c r="S52" s="50">
        <v>51</v>
      </c>
    </row>
    <row r="53" spans="1:19">
      <c r="A53" s="45" t="s">
        <v>201</v>
      </c>
      <c r="B53" s="46">
        <v>45460</v>
      </c>
      <c r="C53" s="45" t="s">
        <v>191</v>
      </c>
      <c r="D53" s="45" t="s">
        <v>192</v>
      </c>
      <c r="E53" s="45" t="s">
        <v>68</v>
      </c>
      <c r="F53" s="45" t="s">
        <v>69</v>
      </c>
      <c r="G53" s="45" t="s">
        <v>70</v>
      </c>
      <c r="H53" s="45">
        <v>1</v>
      </c>
      <c r="I53" s="47">
        <v>59.99</v>
      </c>
      <c r="J53" s="45" t="s">
        <v>94</v>
      </c>
      <c r="K53" s="45" t="s">
        <v>87</v>
      </c>
      <c r="L53" s="45" t="s">
        <v>64</v>
      </c>
      <c r="M53" s="46">
        <v>45190</v>
      </c>
      <c r="N53" s="47">
        <v>59.99</v>
      </c>
      <c r="O53" s="48">
        <f>EOMONTH(B53,0)</f>
        <v>45473</v>
      </c>
      <c r="P53" s="49" t="str">
        <f>"Q"&amp;ROUNDUP(MONTH(B53)/3,0)&amp;"-"&amp;YEAR(B53)</f>
        <v>Q2-2024</v>
      </c>
      <c r="Q53" s="50">
        <f ca="1">TODAY()-B53</f>
        <v>864</v>
      </c>
      <c r="R53" s="50">
        <f>COUNTIF($C$2:C53,C53)</f>
        <v>2</v>
      </c>
      <c r="S53" s="50">
        <v>52</v>
      </c>
    </row>
    <row r="54" spans="1:19">
      <c r="A54" s="45" t="s">
        <v>202</v>
      </c>
      <c r="B54" s="46">
        <v>45460</v>
      </c>
      <c r="C54" s="45" t="s">
        <v>174</v>
      </c>
      <c r="D54" s="45" t="s">
        <v>175</v>
      </c>
      <c r="E54" s="45" t="s">
        <v>139</v>
      </c>
      <c r="F54" s="45" t="s">
        <v>140</v>
      </c>
      <c r="G54" s="45" t="s">
        <v>83</v>
      </c>
      <c r="H54" s="45">
        <v>2</v>
      </c>
      <c r="I54" s="47">
        <v>299.99</v>
      </c>
      <c r="J54" s="45" t="s">
        <v>94</v>
      </c>
      <c r="K54" s="45" t="s">
        <v>100</v>
      </c>
      <c r="L54" s="45" t="s">
        <v>73</v>
      </c>
      <c r="M54" s="46">
        <v>45253</v>
      </c>
      <c r="N54" s="47">
        <v>599.98</v>
      </c>
      <c r="O54" s="48">
        <f>EOMONTH(B54,0)</f>
        <v>45473</v>
      </c>
      <c r="P54" s="49" t="str">
        <f>"Q"&amp;ROUNDUP(MONTH(B54)/3,0)&amp;"-"&amp;YEAR(B54)</f>
        <v>Q2-2024</v>
      </c>
      <c r="Q54" s="50">
        <f ca="1">TODAY()-B54</f>
        <v>864</v>
      </c>
      <c r="R54" s="50">
        <f>COUNTIF($C$2:C54,C54)</f>
        <v>2</v>
      </c>
      <c r="S54" s="50">
        <v>53</v>
      </c>
    </row>
    <row r="55" spans="1:19">
      <c r="A55" s="45" t="s">
        <v>203</v>
      </c>
      <c r="B55" s="46">
        <v>45468</v>
      </c>
      <c r="C55" s="45" t="s">
        <v>204</v>
      </c>
      <c r="D55" s="45" t="s">
        <v>205</v>
      </c>
      <c r="E55" s="45" t="s">
        <v>151</v>
      </c>
      <c r="F55" s="45" t="s">
        <v>152</v>
      </c>
      <c r="G55" s="45" t="s">
        <v>56</v>
      </c>
      <c r="H55" s="45">
        <v>4</v>
      </c>
      <c r="I55" s="47">
        <v>89.99</v>
      </c>
      <c r="J55" s="45" t="s">
        <v>94</v>
      </c>
      <c r="K55" s="45" t="s">
        <v>72</v>
      </c>
      <c r="L55" s="45" t="s">
        <v>59</v>
      </c>
      <c r="M55" s="46">
        <v>45281</v>
      </c>
      <c r="N55" s="47">
        <v>359.96</v>
      </c>
      <c r="O55" s="48">
        <f>EOMONTH(B55,0)</f>
        <v>45473</v>
      </c>
      <c r="P55" s="49" t="str">
        <f>"Q"&amp;ROUNDUP(MONTH(B55)/3,0)&amp;"-"&amp;YEAR(B55)</f>
        <v>Q2-2024</v>
      </c>
      <c r="Q55" s="50">
        <f ca="1">TODAY()-B55</f>
        <v>856</v>
      </c>
      <c r="R55" s="50">
        <f>COUNTIF($C$2:C55,C55)</f>
        <v>1</v>
      </c>
      <c r="S55" s="50">
        <v>54</v>
      </c>
    </row>
    <row r="56" spans="1:19">
      <c r="A56" s="45" t="s">
        <v>206</v>
      </c>
      <c r="B56" s="46">
        <v>45469</v>
      </c>
      <c r="C56" s="45" t="s">
        <v>66</v>
      </c>
      <c r="D56" s="45" t="s">
        <v>67</v>
      </c>
      <c r="E56" s="45" t="s">
        <v>148</v>
      </c>
      <c r="F56" s="45" t="s">
        <v>149</v>
      </c>
      <c r="G56" s="45" t="s">
        <v>70</v>
      </c>
      <c r="H56" s="45">
        <v>1</v>
      </c>
      <c r="I56" s="47">
        <v>79.989999999999995</v>
      </c>
      <c r="J56" s="45" t="s">
        <v>71</v>
      </c>
      <c r="K56" s="45" t="s">
        <v>58</v>
      </c>
      <c r="L56" s="45" t="s">
        <v>64</v>
      </c>
      <c r="M56" s="46">
        <v>45352</v>
      </c>
      <c r="N56" s="47">
        <v>79.989999999999995</v>
      </c>
      <c r="O56" s="48">
        <f>EOMONTH(B56,0)</f>
        <v>45473</v>
      </c>
      <c r="P56" s="49" t="str">
        <f>"Q"&amp;ROUNDUP(MONTH(B56)/3,0)&amp;"-"&amp;YEAR(B56)</f>
        <v>Q2-2024</v>
      </c>
      <c r="Q56" s="50">
        <f ca="1">TODAY()-B56</f>
        <v>855</v>
      </c>
      <c r="R56" s="50">
        <f>COUNTIF($C$2:C56,C56)</f>
        <v>3</v>
      </c>
      <c r="S56" s="50">
        <v>55</v>
      </c>
    </row>
    <row r="57" spans="1:19">
      <c r="A57" s="45" t="s">
        <v>207</v>
      </c>
      <c r="B57" s="46">
        <v>45469</v>
      </c>
      <c r="C57" s="45" t="s">
        <v>96</v>
      </c>
      <c r="D57" s="45" t="s">
        <v>97</v>
      </c>
      <c r="E57" s="45" t="s">
        <v>151</v>
      </c>
      <c r="F57" s="45" t="s">
        <v>152</v>
      </c>
      <c r="G57" s="45" t="s">
        <v>56</v>
      </c>
      <c r="H57" s="45">
        <v>2</v>
      </c>
      <c r="I57" s="47">
        <v>89.99</v>
      </c>
      <c r="J57" s="45" t="s">
        <v>57</v>
      </c>
      <c r="K57" s="45" t="s">
        <v>87</v>
      </c>
      <c r="L57" s="45" t="s">
        <v>59</v>
      </c>
      <c r="M57" s="46">
        <v>44438</v>
      </c>
      <c r="N57" s="47">
        <v>179.98</v>
      </c>
      <c r="O57" s="48">
        <f>EOMONTH(B57,0)</f>
        <v>45473</v>
      </c>
      <c r="P57" s="49" t="str">
        <f>"Q"&amp;ROUNDUP(MONTH(B57)/3,0)&amp;"-"&amp;YEAR(B57)</f>
        <v>Q2-2024</v>
      </c>
      <c r="Q57" s="50">
        <f ca="1">TODAY()-B57</f>
        <v>855</v>
      </c>
      <c r="R57" s="50">
        <f>COUNTIF($C$2:C57,C57)</f>
        <v>2</v>
      </c>
      <c r="S57" s="50">
        <v>56</v>
      </c>
    </row>
    <row r="58" spans="1:19">
      <c r="A58" s="45" t="s">
        <v>208</v>
      </c>
      <c r="B58" s="46">
        <v>45471</v>
      </c>
      <c r="C58" s="45" t="s">
        <v>75</v>
      </c>
      <c r="D58" s="45" t="s">
        <v>76</v>
      </c>
      <c r="E58" s="45" t="s">
        <v>117</v>
      </c>
      <c r="F58" s="45" t="s">
        <v>118</v>
      </c>
      <c r="G58" s="45" t="s">
        <v>56</v>
      </c>
      <c r="H58" s="45">
        <v>3</v>
      </c>
      <c r="I58" s="47">
        <v>699.99</v>
      </c>
      <c r="J58" s="45" t="s">
        <v>63</v>
      </c>
      <c r="K58" s="45" t="s">
        <v>100</v>
      </c>
      <c r="L58" s="45" t="s">
        <v>64</v>
      </c>
      <c r="M58" s="46">
        <v>45102</v>
      </c>
      <c r="N58" s="47">
        <v>2099.9699999999998</v>
      </c>
      <c r="O58" s="48">
        <f>EOMONTH(B58,0)</f>
        <v>45473</v>
      </c>
      <c r="P58" s="49" t="str">
        <f>"Q"&amp;ROUNDUP(MONTH(B58)/3,0)&amp;"-"&amp;YEAR(B58)</f>
        <v>Q2-2024</v>
      </c>
      <c r="Q58" s="50">
        <f ca="1">TODAY()-B58</f>
        <v>853</v>
      </c>
      <c r="R58" s="50">
        <f>COUNTIF($C$2:C58,C58)</f>
        <v>3</v>
      </c>
      <c r="S58" s="50">
        <v>57</v>
      </c>
    </row>
    <row r="59" spans="1:19">
      <c r="A59" s="45" t="s">
        <v>209</v>
      </c>
      <c r="B59" s="46">
        <v>45471</v>
      </c>
      <c r="C59" s="45" t="s">
        <v>134</v>
      </c>
      <c r="D59" s="45" t="s">
        <v>30</v>
      </c>
      <c r="E59" s="45" t="s">
        <v>98</v>
      </c>
      <c r="F59" s="45" t="s">
        <v>99</v>
      </c>
      <c r="G59" s="45" t="s">
        <v>56</v>
      </c>
      <c r="H59" s="45">
        <v>4</v>
      </c>
      <c r="I59" s="47">
        <v>899.99</v>
      </c>
      <c r="J59" s="45" t="s">
        <v>63</v>
      </c>
      <c r="K59" s="45" t="s">
        <v>100</v>
      </c>
      <c r="L59" s="45" t="s">
        <v>64</v>
      </c>
      <c r="M59" s="46">
        <v>44993</v>
      </c>
      <c r="N59" s="47">
        <v>3599.96</v>
      </c>
      <c r="O59" s="48">
        <f>EOMONTH(B59,0)</f>
        <v>45473</v>
      </c>
      <c r="P59" s="49" t="str">
        <f>"Q"&amp;ROUNDUP(MONTH(B59)/3,0)&amp;"-"&amp;YEAR(B59)</f>
        <v>Q2-2024</v>
      </c>
      <c r="Q59" s="50">
        <f ca="1">TODAY()-B59</f>
        <v>853</v>
      </c>
      <c r="R59" s="50">
        <f>COUNTIF($C$2:C59,C59)</f>
        <v>5</v>
      </c>
      <c r="S59" s="50">
        <v>58</v>
      </c>
    </row>
    <row r="60" spans="1:19">
      <c r="A60" s="45" t="s">
        <v>210</v>
      </c>
      <c r="B60" s="46">
        <v>45472</v>
      </c>
      <c r="C60" s="45" t="s">
        <v>154</v>
      </c>
      <c r="D60" s="45" t="s">
        <v>155</v>
      </c>
      <c r="E60" s="45" t="s">
        <v>81</v>
      </c>
      <c r="F60" s="45" t="s">
        <v>82</v>
      </c>
      <c r="G60" s="45" t="s">
        <v>83</v>
      </c>
      <c r="H60" s="45">
        <v>1</v>
      </c>
      <c r="I60" s="47">
        <v>149.99</v>
      </c>
      <c r="J60" s="45" t="s">
        <v>71</v>
      </c>
      <c r="K60" s="45" t="s">
        <v>100</v>
      </c>
      <c r="L60" s="45" t="s">
        <v>59</v>
      </c>
      <c r="M60" s="46">
        <v>44851</v>
      </c>
      <c r="N60" s="47">
        <v>149.99</v>
      </c>
      <c r="O60" s="48">
        <f>EOMONTH(B60,0)</f>
        <v>45473</v>
      </c>
      <c r="P60" s="49" t="str">
        <f>"Q"&amp;ROUNDUP(MONTH(B60)/3,0)&amp;"-"&amp;YEAR(B60)</f>
        <v>Q2-2024</v>
      </c>
      <c r="Q60" s="50">
        <f ca="1">TODAY()-B60</f>
        <v>852</v>
      </c>
      <c r="R60" s="50">
        <f>COUNTIF($C$2:C60,C60)</f>
        <v>2</v>
      </c>
      <c r="S60" s="50">
        <v>59</v>
      </c>
    </row>
    <row r="61" spans="1:19">
      <c r="A61" s="45" t="s">
        <v>211</v>
      </c>
      <c r="B61" s="46">
        <v>45474</v>
      </c>
      <c r="C61" s="45" t="s">
        <v>165</v>
      </c>
      <c r="D61" s="45" t="s">
        <v>166</v>
      </c>
      <c r="E61" s="45" t="s">
        <v>151</v>
      </c>
      <c r="F61" s="45" t="s">
        <v>152</v>
      </c>
      <c r="G61" s="45" t="s">
        <v>56</v>
      </c>
      <c r="H61" s="45">
        <v>2</v>
      </c>
      <c r="I61" s="47">
        <v>89.99</v>
      </c>
      <c r="J61" s="45" t="s">
        <v>71</v>
      </c>
      <c r="K61" s="45" t="s">
        <v>58</v>
      </c>
      <c r="L61" s="45" t="s">
        <v>64</v>
      </c>
      <c r="M61" s="46">
        <v>45275</v>
      </c>
      <c r="N61" s="47">
        <v>179.98</v>
      </c>
      <c r="O61" s="48">
        <f>EOMONTH(B61,0)</f>
        <v>45504</v>
      </c>
      <c r="P61" s="49" t="str">
        <f>"Q"&amp;ROUNDUP(MONTH(B61)/3,0)&amp;"-"&amp;YEAR(B61)</f>
        <v>Q3-2024</v>
      </c>
      <c r="Q61" s="50">
        <f ca="1">TODAY()-B61</f>
        <v>850</v>
      </c>
      <c r="R61" s="50">
        <f>COUNTIF($C$2:C61,C61)</f>
        <v>2</v>
      </c>
      <c r="S61" s="50">
        <v>60</v>
      </c>
    </row>
    <row r="62" spans="1:19">
      <c r="A62" s="45" t="s">
        <v>212</v>
      </c>
      <c r="B62" s="46">
        <v>45475</v>
      </c>
      <c r="C62" s="45" t="s">
        <v>92</v>
      </c>
      <c r="D62" s="45" t="s">
        <v>93</v>
      </c>
      <c r="E62" s="45" t="s">
        <v>151</v>
      </c>
      <c r="F62" s="45" t="s">
        <v>152</v>
      </c>
      <c r="G62" s="45" t="s">
        <v>56</v>
      </c>
      <c r="H62" s="45">
        <v>1</v>
      </c>
      <c r="I62" s="47">
        <v>89.99</v>
      </c>
      <c r="J62" s="45" t="s">
        <v>71</v>
      </c>
      <c r="K62" s="45" t="s">
        <v>87</v>
      </c>
      <c r="L62" s="45" t="s">
        <v>73</v>
      </c>
      <c r="M62" s="46">
        <v>44802</v>
      </c>
      <c r="N62" s="47">
        <v>89.99</v>
      </c>
      <c r="O62" s="48">
        <f>EOMONTH(B62,0)</f>
        <v>45504</v>
      </c>
      <c r="P62" s="49" t="str">
        <f>"Q"&amp;ROUNDUP(MONTH(B62)/3,0)&amp;"-"&amp;YEAR(B62)</f>
        <v>Q3-2024</v>
      </c>
      <c r="Q62" s="50">
        <f ca="1">TODAY()-B62</f>
        <v>849</v>
      </c>
      <c r="R62" s="50">
        <f>COUNTIF($C$2:C62,C62)</f>
        <v>4</v>
      </c>
      <c r="S62" s="50">
        <v>61</v>
      </c>
    </row>
    <row r="63" spans="1:19">
      <c r="A63" s="45" t="s">
        <v>213</v>
      </c>
      <c r="B63" s="46">
        <v>45476</v>
      </c>
      <c r="C63" s="45" t="s">
        <v>105</v>
      </c>
      <c r="D63" s="45" t="s">
        <v>106</v>
      </c>
      <c r="E63" s="45" t="s">
        <v>151</v>
      </c>
      <c r="F63" s="45" t="s">
        <v>152</v>
      </c>
      <c r="G63" s="45" t="s">
        <v>56</v>
      </c>
      <c r="H63" s="45">
        <v>1</v>
      </c>
      <c r="I63" s="47">
        <v>89.99</v>
      </c>
      <c r="J63" s="45" t="s">
        <v>57</v>
      </c>
      <c r="K63" s="45" t="s">
        <v>72</v>
      </c>
      <c r="L63" s="45" t="s">
        <v>73</v>
      </c>
      <c r="M63" s="46">
        <v>44611</v>
      </c>
      <c r="N63" s="47">
        <v>89.99</v>
      </c>
      <c r="O63" s="48">
        <f>EOMONTH(B63,0)</f>
        <v>45504</v>
      </c>
      <c r="P63" s="49" t="str">
        <f>"Q"&amp;ROUNDUP(MONTH(B63)/3,0)&amp;"-"&amp;YEAR(B63)</f>
        <v>Q3-2024</v>
      </c>
      <c r="Q63" s="50">
        <f ca="1">TODAY()-B63</f>
        <v>848</v>
      </c>
      <c r="R63" s="50">
        <f>COUNTIF($C$2:C63,C63)</f>
        <v>3</v>
      </c>
      <c r="S63" s="50">
        <v>62</v>
      </c>
    </row>
    <row r="64" spans="1:19">
      <c r="A64" s="45" t="s">
        <v>214</v>
      </c>
      <c r="B64" s="46">
        <v>45476</v>
      </c>
      <c r="C64" s="45" t="s">
        <v>215</v>
      </c>
      <c r="D64" s="45" t="s">
        <v>216</v>
      </c>
      <c r="E64" s="45" t="s">
        <v>148</v>
      </c>
      <c r="F64" s="45" t="s">
        <v>149</v>
      </c>
      <c r="G64" s="45" t="s">
        <v>70</v>
      </c>
      <c r="H64" s="45">
        <v>5</v>
      </c>
      <c r="I64" s="47">
        <v>79.989999999999995</v>
      </c>
      <c r="J64" s="45" t="s">
        <v>94</v>
      </c>
      <c r="K64" s="45" t="s">
        <v>58</v>
      </c>
      <c r="L64" s="45" t="s">
        <v>59</v>
      </c>
      <c r="M64" s="46">
        <v>44981</v>
      </c>
      <c r="N64" s="47">
        <v>399.95</v>
      </c>
      <c r="O64" s="48">
        <f>EOMONTH(B64,0)</f>
        <v>45504</v>
      </c>
      <c r="P64" s="49" t="str">
        <f>"Q"&amp;ROUNDUP(MONTH(B64)/3,0)&amp;"-"&amp;YEAR(B64)</f>
        <v>Q3-2024</v>
      </c>
      <c r="Q64" s="50">
        <f ca="1">TODAY()-B64</f>
        <v>848</v>
      </c>
      <c r="R64" s="50">
        <f>COUNTIF($C$2:C64,C64)</f>
        <v>1</v>
      </c>
      <c r="S64" s="50">
        <v>63</v>
      </c>
    </row>
    <row r="65" spans="1:19">
      <c r="A65" s="45" t="s">
        <v>217</v>
      </c>
      <c r="B65" s="46">
        <v>45481</v>
      </c>
      <c r="C65" s="45" t="s">
        <v>218</v>
      </c>
      <c r="D65" s="45" t="s">
        <v>219</v>
      </c>
      <c r="E65" s="45" t="s">
        <v>81</v>
      </c>
      <c r="F65" s="45" t="s">
        <v>82</v>
      </c>
      <c r="G65" s="45" t="s">
        <v>83</v>
      </c>
      <c r="H65" s="45">
        <v>1</v>
      </c>
      <c r="I65" s="47">
        <v>149.99</v>
      </c>
      <c r="J65" s="45" t="s">
        <v>71</v>
      </c>
      <c r="K65" s="45" t="s">
        <v>77</v>
      </c>
      <c r="L65" s="45" t="s">
        <v>59</v>
      </c>
      <c r="M65" s="46">
        <v>44421</v>
      </c>
      <c r="N65" s="47">
        <v>149.99</v>
      </c>
      <c r="O65" s="48">
        <f>EOMONTH(B65,0)</f>
        <v>45504</v>
      </c>
      <c r="P65" s="49" t="str">
        <f>"Q"&amp;ROUNDUP(MONTH(B65)/3,0)&amp;"-"&amp;YEAR(B65)</f>
        <v>Q3-2024</v>
      </c>
      <c r="Q65" s="50">
        <f ca="1">TODAY()-B65</f>
        <v>843</v>
      </c>
      <c r="R65" s="50">
        <f>COUNTIF($C$2:C65,C65)</f>
        <v>1</v>
      </c>
      <c r="S65" s="50">
        <v>64</v>
      </c>
    </row>
    <row r="66" spans="1:19">
      <c r="A66" s="45" t="s">
        <v>220</v>
      </c>
      <c r="B66" s="46">
        <v>45481</v>
      </c>
      <c r="C66" s="45" t="s">
        <v>79</v>
      </c>
      <c r="D66" s="45" t="s">
        <v>80</v>
      </c>
      <c r="E66" s="45" t="s">
        <v>117</v>
      </c>
      <c r="F66" s="45" t="s">
        <v>118</v>
      </c>
      <c r="G66" s="45" t="s">
        <v>56</v>
      </c>
      <c r="H66" s="45">
        <v>2</v>
      </c>
      <c r="I66" s="47">
        <v>699.99</v>
      </c>
      <c r="J66" s="45" t="s">
        <v>71</v>
      </c>
      <c r="K66" s="45" t="s">
        <v>100</v>
      </c>
      <c r="L66" s="45" t="s">
        <v>64</v>
      </c>
      <c r="M66" s="46">
        <v>45389</v>
      </c>
      <c r="N66" s="47">
        <v>1399.98</v>
      </c>
      <c r="O66" s="48">
        <f>EOMONTH(B66,0)</f>
        <v>45504</v>
      </c>
      <c r="P66" s="49" t="str">
        <f>"Q"&amp;ROUNDUP(MONTH(B66)/3,0)&amp;"-"&amp;YEAR(B66)</f>
        <v>Q3-2024</v>
      </c>
      <c r="Q66" s="50">
        <f ca="1">TODAY()-B66</f>
        <v>843</v>
      </c>
      <c r="R66" s="50">
        <f>COUNTIF($C$2:C66,C66)</f>
        <v>3</v>
      </c>
      <c r="S66" s="50">
        <v>65</v>
      </c>
    </row>
    <row r="67" spans="1:19">
      <c r="A67" s="45" t="s">
        <v>221</v>
      </c>
      <c r="B67" s="46">
        <v>45481</v>
      </c>
      <c r="C67" s="45" t="s">
        <v>132</v>
      </c>
      <c r="D67" s="45" t="s">
        <v>28</v>
      </c>
      <c r="E67" s="45" t="s">
        <v>151</v>
      </c>
      <c r="F67" s="45" t="s">
        <v>152</v>
      </c>
      <c r="G67" s="45" t="s">
        <v>56</v>
      </c>
      <c r="H67" s="45">
        <v>5</v>
      </c>
      <c r="I67" s="47">
        <v>89.99</v>
      </c>
      <c r="J67" s="45" t="s">
        <v>94</v>
      </c>
      <c r="K67" s="45" t="s">
        <v>77</v>
      </c>
      <c r="L67" s="45" t="s">
        <v>64</v>
      </c>
      <c r="M67" s="46">
        <v>45161</v>
      </c>
      <c r="N67" s="47">
        <v>449.95</v>
      </c>
      <c r="O67" s="48">
        <f>EOMONTH(B67,0)</f>
        <v>45504</v>
      </c>
      <c r="P67" s="49" t="str">
        <f>"Q"&amp;ROUNDUP(MONTH(B67)/3,0)&amp;"-"&amp;YEAR(B67)</f>
        <v>Q3-2024</v>
      </c>
      <c r="Q67" s="50">
        <f ca="1">TODAY()-B67</f>
        <v>843</v>
      </c>
      <c r="R67" s="50">
        <f>COUNTIF($C$2:C67,C67)</f>
        <v>2</v>
      </c>
      <c r="S67" s="50">
        <v>66</v>
      </c>
    </row>
    <row r="68" spans="1:19">
      <c r="A68" s="45" t="s">
        <v>222</v>
      </c>
      <c r="B68" s="46">
        <v>45482</v>
      </c>
      <c r="C68" s="45" t="s">
        <v>204</v>
      </c>
      <c r="D68" s="45" t="s">
        <v>205</v>
      </c>
      <c r="E68" s="45" t="s">
        <v>68</v>
      </c>
      <c r="F68" s="45" t="s">
        <v>69</v>
      </c>
      <c r="G68" s="45" t="s">
        <v>70</v>
      </c>
      <c r="H68" s="45">
        <v>4</v>
      </c>
      <c r="I68" s="47">
        <v>59.99</v>
      </c>
      <c r="J68" s="45" t="s">
        <v>57</v>
      </c>
      <c r="K68" s="45" t="s">
        <v>72</v>
      </c>
      <c r="L68" s="45" t="s">
        <v>73</v>
      </c>
      <c r="M68" s="46">
        <v>44509</v>
      </c>
      <c r="N68" s="47">
        <v>239.96</v>
      </c>
      <c r="O68" s="48">
        <f>EOMONTH(B68,0)</f>
        <v>45504</v>
      </c>
      <c r="P68" s="49" t="str">
        <f>"Q"&amp;ROUNDUP(MONTH(B68)/3,0)&amp;"-"&amp;YEAR(B68)</f>
        <v>Q3-2024</v>
      </c>
      <c r="Q68" s="50">
        <f ca="1">TODAY()-B68</f>
        <v>842</v>
      </c>
      <c r="R68" s="50">
        <f>COUNTIF($C$2:C68,C68)</f>
        <v>2</v>
      </c>
      <c r="S68" s="50">
        <v>67</v>
      </c>
    </row>
    <row r="69" spans="1:19">
      <c r="A69" s="45" t="s">
        <v>223</v>
      </c>
      <c r="B69" s="46">
        <v>45484</v>
      </c>
      <c r="C69" s="45" t="s">
        <v>61</v>
      </c>
      <c r="D69" s="45" t="s">
        <v>62</v>
      </c>
      <c r="E69" s="45" t="s">
        <v>89</v>
      </c>
      <c r="F69" s="45" t="s">
        <v>90</v>
      </c>
      <c r="G69" s="45" t="s">
        <v>56</v>
      </c>
      <c r="H69" s="45">
        <v>1</v>
      </c>
      <c r="I69" s="47">
        <v>149.99</v>
      </c>
      <c r="J69" s="45" t="s">
        <v>57</v>
      </c>
      <c r="K69" s="45" t="s">
        <v>58</v>
      </c>
      <c r="L69" s="45" t="s">
        <v>73</v>
      </c>
      <c r="M69" s="46">
        <v>44909</v>
      </c>
      <c r="N69" s="47">
        <v>149.99</v>
      </c>
      <c r="O69" s="48">
        <f>EOMONTH(B69,0)</f>
        <v>45504</v>
      </c>
      <c r="P69" s="49" t="str">
        <f>"Q"&amp;ROUNDUP(MONTH(B69)/3,0)&amp;"-"&amp;YEAR(B69)</f>
        <v>Q3-2024</v>
      </c>
      <c r="Q69" s="50">
        <f ca="1">TODAY()-B69</f>
        <v>840</v>
      </c>
      <c r="R69" s="50">
        <f>COUNTIF($C$2:C69,C69)</f>
        <v>3</v>
      </c>
      <c r="S69" s="50">
        <v>68</v>
      </c>
    </row>
    <row r="70" spans="1:19">
      <c r="A70" s="45" t="s">
        <v>224</v>
      </c>
      <c r="B70" s="46">
        <v>45484</v>
      </c>
      <c r="C70" s="45" t="s">
        <v>225</v>
      </c>
      <c r="D70" s="45" t="s">
        <v>226</v>
      </c>
      <c r="E70" s="45" t="s">
        <v>139</v>
      </c>
      <c r="F70" s="45" t="s">
        <v>140</v>
      </c>
      <c r="G70" s="45" t="s">
        <v>83</v>
      </c>
      <c r="H70" s="45">
        <v>1</v>
      </c>
      <c r="I70" s="47">
        <v>299.99</v>
      </c>
      <c r="J70" s="45" t="s">
        <v>63</v>
      </c>
      <c r="K70" s="45" t="s">
        <v>77</v>
      </c>
      <c r="L70" s="45" t="s">
        <v>64</v>
      </c>
      <c r="M70" s="46">
        <v>44891</v>
      </c>
      <c r="N70" s="47">
        <v>299.99</v>
      </c>
      <c r="O70" s="48">
        <f>EOMONTH(B70,0)</f>
        <v>45504</v>
      </c>
      <c r="P70" s="49" t="str">
        <f>"Q"&amp;ROUNDUP(MONTH(B70)/3,0)&amp;"-"&amp;YEAR(B70)</f>
        <v>Q3-2024</v>
      </c>
      <c r="Q70" s="50">
        <f ca="1">TODAY()-B70</f>
        <v>840</v>
      </c>
      <c r="R70" s="50">
        <f>COUNTIF($C$2:C70,C70)</f>
        <v>1</v>
      </c>
      <c r="S70" s="50">
        <v>69</v>
      </c>
    </row>
    <row r="71" spans="1:19">
      <c r="A71" s="45" t="s">
        <v>227</v>
      </c>
      <c r="B71" s="46">
        <v>45487</v>
      </c>
      <c r="C71" s="45" t="s">
        <v>225</v>
      </c>
      <c r="D71" s="45" t="s">
        <v>226</v>
      </c>
      <c r="E71" s="45" t="s">
        <v>159</v>
      </c>
      <c r="F71" s="45" t="s">
        <v>160</v>
      </c>
      <c r="G71" s="45" t="s">
        <v>83</v>
      </c>
      <c r="H71" s="45">
        <v>2</v>
      </c>
      <c r="I71" s="47">
        <v>199.99</v>
      </c>
      <c r="J71" s="45" t="s">
        <v>57</v>
      </c>
      <c r="K71" s="45" t="s">
        <v>77</v>
      </c>
      <c r="L71" s="45" t="s">
        <v>59</v>
      </c>
      <c r="M71" s="46">
        <v>44541</v>
      </c>
      <c r="N71" s="47">
        <v>399.98</v>
      </c>
      <c r="O71" s="48">
        <f>EOMONTH(B71,0)</f>
        <v>45504</v>
      </c>
      <c r="P71" s="49" t="str">
        <f>"Q"&amp;ROUNDUP(MONTH(B71)/3,0)&amp;"-"&amp;YEAR(B71)</f>
        <v>Q3-2024</v>
      </c>
      <c r="Q71" s="50">
        <f ca="1">TODAY()-B71</f>
        <v>837</v>
      </c>
      <c r="R71" s="50">
        <f>COUNTIF($C$2:C71,C71)</f>
        <v>2</v>
      </c>
      <c r="S71" s="50">
        <v>70</v>
      </c>
    </row>
    <row r="72" spans="1:19">
      <c r="A72" s="45" t="s">
        <v>228</v>
      </c>
      <c r="B72" s="46">
        <v>45490</v>
      </c>
      <c r="C72" s="45" t="s">
        <v>229</v>
      </c>
      <c r="D72" s="45" t="s">
        <v>230</v>
      </c>
      <c r="E72" s="45" t="s">
        <v>68</v>
      </c>
      <c r="F72" s="45" t="s">
        <v>69</v>
      </c>
      <c r="G72" s="45" t="s">
        <v>70</v>
      </c>
      <c r="H72" s="45">
        <v>3</v>
      </c>
      <c r="I72" s="47">
        <v>59.99</v>
      </c>
      <c r="J72" s="45" t="s">
        <v>63</v>
      </c>
      <c r="K72" s="45" t="s">
        <v>87</v>
      </c>
      <c r="L72" s="45" t="s">
        <v>59</v>
      </c>
      <c r="M72" s="46">
        <v>45130</v>
      </c>
      <c r="N72" s="47">
        <v>179.97</v>
      </c>
      <c r="O72" s="48">
        <f>EOMONTH(B72,0)</f>
        <v>45504</v>
      </c>
      <c r="P72" s="49" t="str">
        <f>"Q"&amp;ROUNDUP(MONTH(B72)/3,0)&amp;"-"&amp;YEAR(B72)</f>
        <v>Q3-2024</v>
      </c>
      <c r="Q72" s="50">
        <f ca="1">TODAY()-B72</f>
        <v>834</v>
      </c>
      <c r="R72" s="50">
        <f>COUNTIF($C$2:C72,C72)</f>
        <v>1</v>
      </c>
      <c r="S72" s="50">
        <v>71</v>
      </c>
    </row>
    <row r="73" spans="1:19">
      <c r="A73" s="45" t="s">
        <v>231</v>
      </c>
      <c r="B73" s="46">
        <v>45490</v>
      </c>
      <c r="C73" s="45" t="s">
        <v>109</v>
      </c>
      <c r="D73" s="45" t="s">
        <v>110</v>
      </c>
      <c r="E73" s="45" t="s">
        <v>81</v>
      </c>
      <c r="F73" s="45" t="s">
        <v>82</v>
      </c>
      <c r="G73" s="45" t="s">
        <v>83</v>
      </c>
      <c r="H73" s="45">
        <v>3</v>
      </c>
      <c r="I73" s="47">
        <v>149.99</v>
      </c>
      <c r="J73" s="45" t="s">
        <v>57</v>
      </c>
      <c r="K73" s="45" t="s">
        <v>58</v>
      </c>
      <c r="L73" s="45" t="s">
        <v>64</v>
      </c>
      <c r="M73" s="46">
        <v>45199</v>
      </c>
      <c r="N73" s="47">
        <v>449.97</v>
      </c>
      <c r="O73" s="48">
        <f>EOMONTH(B73,0)</f>
        <v>45504</v>
      </c>
      <c r="P73" s="49" t="str">
        <f>"Q"&amp;ROUNDUP(MONTH(B73)/3,0)&amp;"-"&amp;YEAR(B73)</f>
        <v>Q3-2024</v>
      </c>
      <c r="Q73" s="50">
        <f ca="1">TODAY()-B73</f>
        <v>834</v>
      </c>
      <c r="R73" s="50">
        <f>COUNTIF($C$2:C73,C73)</f>
        <v>2</v>
      </c>
      <c r="S73" s="50">
        <v>72</v>
      </c>
    </row>
    <row r="74" spans="1:19">
      <c r="A74" s="45" t="s">
        <v>232</v>
      </c>
      <c r="B74" s="46">
        <v>45491</v>
      </c>
      <c r="C74" s="45" t="s">
        <v>102</v>
      </c>
      <c r="D74" s="45" t="s">
        <v>103</v>
      </c>
      <c r="E74" s="45" t="s">
        <v>159</v>
      </c>
      <c r="F74" s="45" t="s">
        <v>160</v>
      </c>
      <c r="G74" s="45" t="s">
        <v>83</v>
      </c>
      <c r="H74" s="45">
        <v>3</v>
      </c>
      <c r="I74" s="47">
        <v>199.99</v>
      </c>
      <c r="J74" s="45" t="s">
        <v>57</v>
      </c>
      <c r="K74" s="45" t="s">
        <v>77</v>
      </c>
      <c r="L74" s="45" t="s">
        <v>64</v>
      </c>
      <c r="M74" s="46">
        <v>45254</v>
      </c>
      <c r="N74" s="47">
        <v>599.97</v>
      </c>
      <c r="O74" s="48">
        <f>EOMONTH(B74,0)</f>
        <v>45504</v>
      </c>
      <c r="P74" s="49" t="str">
        <f>"Q"&amp;ROUNDUP(MONTH(B74)/3,0)&amp;"-"&amp;YEAR(B74)</f>
        <v>Q3-2024</v>
      </c>
      <c r="Q74" s="50">
        <f ca="1">TODAY()-B74</f>
        <v>833</v>
      </c>
      <c r="R74" s="50">
        <f>COUNTIF($C$2:C74,C74)</f>
        <v>2</v>
      </c>
      <c r="S74" s="50">
        <v>73</v>
      </c>
    </row>
    <row r="75" spans="1:19">
      <c r="A75" s="45" t="s">
        <v>233</v>
      </c>
      <c r="B75" s="46">
        <v>45496</v>
      </c>
      <c r="C75" s="45" t="s">
        <v>183</v>
      </c>
      <c r="D75" s="45" t="s">
        <v>184</v>
      </c>
      <c r="E75" s="45" t="s">
        <v>98</v>
      </c>
      <c r="F75" s="45" t="s">
        <v>99</v>
      </c>
      <c r="G75" s="45" t="s">
        <v>56</v>
      </c>
      <c r="H75" s="45">
        <v>1</v>
      </c>
      <c r="I75" s="47">
        <v>899.99</v>
      </c>
      <c r="J75" s="45" t="s">
        <v>57</v>
      </c>
      <c r="K75" s="45" t="s">
        <v>58</v>
      </c>
      <c r="L75" s="45" t="s">
        <v>73</v>
      </c>
      <c r="M75" s="46">
        <v>45179</v>
      </c>
      <c r="N75" s="47">
        <v>899.99</v>
      </c>
      <c r="O75" s="48">
        <f>EOMONTH(B75,0)</f>
        <v>45504</v>
      </c>
      <c r="P75" s="49" t="str">
        <f>"Q"&amp;ROUNDUP(MONTH(B75)/3,0)&amp;"-"&amp;YEAR(B75)</f>
        <v>Q3-2024</v>
      </c>
      <c r="Q75" s="50">
        <f ca="1">TODAY()-B75</f>
        <v>828</v>
      </c>
      <c r="R75" s="50">
        <f>COUNTIF($C$2:C75,C75)</f>
        <v>2</v>
      </c>
      <c r="S75" s="50">
        <v>74</v>
      </c>
    </row>
    <row r="76" spans="1:19">
      <c r="A76" s="45" t="s">
        <v>234</v>
      </c>
      <c r="B76" s="46">
        <v>45497</v>
      </c>
      <c r="C76" s="45" t="s">
        <v>61</v>
      </c>
      <c r="D76" s="45" t="s">
        <v>62</v>
      </c>
      <c r="E76" s="45" t="s">
        <v>98</v>
      </c>
      <c r="F76" s="45" t="s">
        <v>99</v>
      </c>
      <c r="G76" s="45" t="s">
        <v>56</v>
      </c>
      <c r="H76" s="45">
        <v>5</v>
      </c>
      <c r="I76" s="47">
        <v>899.99</v>
      </c>
      <c r="J76" s="45" t="s">
        <v>94</v>
      </c>
      <c r="K76" s="45" t="s">
        <v>72</v>
      </c>
      <c r="L76" s="45" t="s">
        <v>73</v>
      </c>
      <c r="M76" s="46">
        <v>44899</v>
      </c>
      <c r="N76" s="47">
        <v>4499.95</v>
      </c>
      <c r="O76" s="48">
        <f>EOMONTH(B76,0)</f>
        <v>45504</v>
      </c>
      <c r="P76" s="49" t="str">
        <f>"Q"&amp;ROUNDUP(MONTH(B76)/3,0)&amp;"-"&amp;YEAR(B76)</f>
        <v>Q3-2024</v>
      </c>
      <c r="Q76" s="50">
        <f ca="1">TODAY()-B76</f>
        <v>827</v>
      </c>
      <c r="R76" s="50">
        <f>COUNTIF($C$2:C76,C76)</f>
        <v>4</v>
      </c>
      <c r="S76" s="50">
        <v>75</v>
      </c>
    </row>
    <row r="77" spans="1:19">
      <c r="A77" s="45" t="s">
        <v>235</v>
      </c>
      <c r="B77" s="46">
        <v>45498</v>
      </c>
      <c r="C77" s="45" t="s">
        <v>215</v>
      </c>
      <c r="D77" s="45" t="s">
        <v>216</v>
      </c>
      <c r="E77" s="45" t="s">
        <v>68</v>
      </c>
      <c r="F77" s="45" t="s">
        <v>69</v>
      </c>
      <c r="G77" s="45" t="s">
        <v>70</v>
      </c>
      <c r="H77" s="45">
        <v>2</v>
      </c>
      <c r="I77" s="47">
        <v>59.99</v>
      </c>
      <c r="J77" s="45" t="s">
        <v>57</v>
      </c>
      <c r="K77" s="45" t="s">
        <v>77</v>
      </c>
      <c r="L77" s="45" t="s">
        <v>73</v>
      </c>
      <c r="M77" s="46">
        <v>45152</v>
      </c>
      <c r="N77" s="47">
        <v>119.98</v>
      </c>
      <c r="O77" s="48">
        <f>EOMONTH(B77,0)</f>
        <v>45504</v>
      </c>
      <c r="P77" s="49" t="str">
        <f>"Q"&amp;ROUNDUP(MONTH(B77)/3,0)&amp;"-"&amp;YEAR(B77)</f>
        <v>Q3-2024</v>
      </c>
      <c r="Q77" s="50">
        <f ca="1">TODAY()-B77</f>
        <v>826</v>
      </c>
      <c r="R77" s="50">
        <f>COUNTIF($C$2:C77,C77)</f>
        <v>2</v>
      </c>
      <c r="S77" s="50">
        <v>76</v>
      </c>
    </row>
    <row r="78" spans="1:19">
      <c r="A78" s="45" t="s">
        <v>236</v>
      </c>
      <c r="B78" s="46">
        <v>45498</v>
      </c>
      <c r="C78" s="45" t="s">
        <v>229</v>
      </c>
      <c r="D78" s="45" t="s">
        <v>230</v>
      </c>
      <c r="E78" s="45" t="s">
        <v>54</v>
      </c>
      <c r="F78" s="45" t="s">
        <v>55</v>
      </c>
      <c r="G78" s="45" t="s">
        <v>56</v>
      </c>
      <c r="H78" s="45">
        <v>4</v>
      </c>
      <c r="I78" s="47">
        <v>249.99</v>
      </c>
      <c r="J78" s="45" t="s">
        <v>94</v>
      </c>
      <c r="K78" s="45" t="s">
        <v>58</v>
      </c>
      <c r="L78" s="45" t="s">
        <v>73</v>
      </c>
      <c r="M78" s="46">
        <v>45127</v>
      </c>
      <c r="N78" s="47">
        <v>999.96</v>
      </c>
      <c r="O78" s="48">
        <f>EOMONTH(B78,0)</f>
        <v>45504</v>
      </c>
      <c r="P78" s="49" t="str">
        <f>"Q"&amp;ROUNDUP(MONTH(B78)/3,0)&amp;"-"&amp;YEAR(B78)</f>
        <v>Q3-2024</v>
      </c>
      <c r="Q78" s="50">
        <f ca="1">TODAY()-B78</f>
        <v>826</v>
      </c>
      <c r="R78" s="50">
        <f>COUNTIF($C$2:C78,C78)</f>
        <v>2</v>
      </c>
      <c r="S78" s="50">
        <v>77</v>
      </c>
    </row>
    <row r="79" spans="1:19">
      <c r="A79" s="45" t="s">
        <v>237</v>
      </c>
      <c r="B79" s="46">
        <v>45500</v>
      </c>
      <c r="C79" s="45" t="s">
        <v>132</v>
      </c>
      <c r="D79" s="45" t="s">
        <v>28</v>
      </c>
      <c r="E79" s="45" t="s">
        <v>54</v>
      </c>
      <c r="F79" s="45" t="s">
        <v>55</v>
      </c>
      <c r="G79" s="45" t="s">
        <v>56</v>
      </c>
      <c r="H79" s="45">
        <v>2</v>
      </c>
      <c r="I79" s="47">
        <v>249.99</v>
      </c>
      <c r="J79" s="45" t="s">
        <v>57</v>
      </c>
      <c r="K79" s="45" t="s">
        <v>77</v>
      </c>
      <c r="L79" s="45" t="s">
        <v>64</v>
      </c>
      <c r="M79" s="46">
        <v>45164</v>
      </c>
      <c r="N79" s="47">
        <v>499.98</v>
      </c>
      <c r="O79" s="48">
        <f>EOMONTH(B79,0)</f>
        <v>45504</v>
      </c>
      <c r="P79" s="49" t="str">
        <f>"Q"&amp;ROUNDUP(MONTH(B79)/3,0)&amp;"-"&amp;YEAR(B79)</f>
        <v>Q3-2024</v>
      </c>
      <c r="Q79" s="50">
        <f ca="1">TODAY()-B79</f>
        <v>824</v>
      </c>
      <c r="R79" s="50">
        <f>COUNTIF($C$2:C79,C79)</f>
        <v>3</v>
      </c>
      <c r="S79" s="50">
        <v>78</v>
      </c>
    </row>
    <row r="80" spans="1:19">
      <c r="A80" s="45" t="s">
        <v>238</v>
      </c>
      <c r="B80" s="46">
        <v>45500</v>
      </c>
      <c r="C80" s="45" t="s">
        <v>180</v>
      </c>
      <c r="D80" s="45" t="s">
        <v>181</v>
      </c>
      <c r="E80" s="45" t="s">
        <v>139</v>
      </c>
      <c r="F80" s="45" t="s">
        <v>140</v>
      </c>
      <c r="G80" s="45" t="s">
        <v>83</v>
      </c>
      <c r="H80" s="45">
        <v>1</v>
      </c>
      <c r="I80" s="47">
        <v>299.99</v>
      </c>
      <c r="J80" s="45" t="s">
        <v>57</v>
      </c>
      <c r="K80" s="45" t="s">
        <v>72</v>
      </c>
      <c r="L80" s="45" t="s">
        <v>59</v>
      </c>
      <c r="M80" s="46">
        <v>44982</v>
      </c>
      <c r="N80" s="47">
        <v>299.99</v>
      </c>
      <c r="O80" s="48">
        <f>EOMONTH(B80,0)</f>
        <v>45504</v>
      </c>
      <c r="P80" s="49" t="str">
        <f>"Q"&amp;ROUNDUP(MONTH(B80)/3,0)&amp;"-"&amp;YEAR(B80)</f>
        <v>Q3-2024</v>
      </c>
      <c r="Q80" s="50">
        <f ca="1">TODAY()-B80</f>
        <v>824</v>
      </c>
      <c r="R80" s="50">
        <f>COUNTIF($C$2:C80,C80)</f>
        <v>2</v>
      </c>
      <c r="S80" s="50">
        <v>79</v>
      </c>
    </row>
    <row r="81" spans="1:19">
      <c r="A81" s="45" t="s">
        <v>239</v>
      </c>
      <c r="B81" s="46">
        <v>45501</v>
      </c>
      <c r="C81" s="45" t="s">
        <v>123</v>
      </c>
      <c r="D81" s="45" t="s">
        <v>24</v>
      </c>
      <c r="E81" s="45" t="s">
        <v>151</v>
      </c>
      <c r="F81" s="45" t="s">
        <v>152</v>
      </c>
      <c r="G81" s="45" t="s">
        <v>56</v>
      </c>
      <c r="H81" s="45">
        <v>2</v>
      </c>
      <c r="I81" s="47">
        <v>89.99</v>
      </c>
      <c r="J81" s="45" t="s">
        <v>71</v>
      </c>
      <c r="K81" s="45" t="s">
        <v>72</v>
      </c>
      <c r="L81" s="45" t="s">
        <v>59</v>
      </c>
      <c r="M81" s="46">
        <v>44976</v>
      </c>
      <c r="N81" s="47">
        <v>179.98</v>
      </c>
      <c r="O81" s="48">
        <f>EOMONTH(B81,0)</f>
        <v>45504</v>
      </c>
      <c r="P81" s="49" t="str">
        <f>"Q"&amp;ROUNDUP(MONTH(B81)/3,0)&amp;"-"&amp;YEAR(B81)</f>
        <v>Q3-2024</v>
      </c>
      <c r="Q81" s="50">
        <f ca="1">TODAY()-B81</f>
        <v>823</v>
      </c>
      <c r="R81" s="50">
        <f>COUNTIF($C$2:C81,C81)</f>
        <v>4</v>
      </c>
      <c r="S81" s="50">
        <v>80</v>
      </c>
    </row>
    <row r="82" spans="1:19">
      <c r="A82" s="45" t="s">
        <v>240</v>
      </c>
      <c r="B82" s="46">
        <v>45501</v>
      </c>
      <c r="C82" s="45" t="s">
        <v>180</v>
      </c>
      <c r="D82" s="45" t="s">
        <v>181</v>
      </c>
      <c r="E82" s="45" t="s">
        <v>139</v>
      </c>
      <c r="F82" s="45" t="s">
        <v>140</v>
      </c>
      <c r="G82" s="45" t="s">
        <v>83</v>
      </c>
      <c r="H82" s="45">
        <v>3</v>
      </c>
      <c r="I82" s="47">
        <v>299.99</v>
      </c>
      <c r="J82" s="45" t="s">
        <v>57</v>
      </c>
      <c r="K82" s="45" t="s">
        <v>58</v>
      </c>
      <c r="L82" s="45" t="s">
        <v>59</v>
      </c>
      <c r="M82" s="46">
        <v>44732</v>
      </c>
      <c r="N82" s="47">
        <v>899.97</v>
      </c>
      <c r="O82" s="48">
        <f>EOMONTH(B82,0)</f>
        <v>45504</v>
      </c>
      <c r="P82" s="49" t="str">
        <f>"Q"&amp;ROUNDUP(MONTH(B82)/3,0)&amp;"-"&amp;YEAR(B82)</f>
        <v>Q3-2024</v>
      </c>
      <c r="Q82" s="50">
        <f ca="1">TODAY()-B82</f>
        <v>823</v>
      </c>
      <c r="R82" s="50">
        <f>COUNTIF($C$2:C82,C82)</f>
        <v>3</v>
      </c>
      <c r="S82" s="50">
        <v>81</v>
      </c>
    </row>
    <row r="83" spans="1:19">
      <c r="A83" s="45" t="s">
        <v>241</v>
      </c>
      <c r="B83" s="46">
        <v>45503</v>
      </c>
      <c r="C83" s="45" t="s">
        <v>123</v>
      </c>
      <c r="D83" s="45" t="s">
        <v>24</v>
      </c>
      <c r="E83" s="45" t="s">
        <v>117</v>
      </c>
      <c r="F83" s="45" t="s">
        <v>118</v>
      </c>
      <c r="G83" s="45" t="s">
        <v>56</v>
      </c>
      <c r="H83" s="45">
        <v>2</v>
      </c>
      <c r="I83" s="47">
        <v>699.99</v>
      </c>
      <c r="J83" s="45" t="s">
        <v>63</v>
      </c>
      <c r="K83" s="45" t="s">
        <v>77</v>
      </c>
      <c r="L83" s="45" t="s">
        <v>64</v>
      </c>
      <c r="M83" s="46">
        <v>44999</v>
      </c>
      <c r="N83" s="47">
        <v>1399.98</v>
      </c>
      <c r="O83" s="48">
        <f>EOMONTH(B83,0)</f>
        <v>45504</v>
      </c>
      <c r="P83" s="49" t="str">
        <f>"Q"&amp;ROUNDUP(MONTH(B83)/3,0)&amp;"-"&amp;YEAR(B83)</f>
        <v>Q3-2024</v>
      </c>
      <c r="Q83" s="50">
        <f ca="1">TODAY()-B83</f>
        <v>821</v>
      </c>
      <c r="R83" s="50">
        <f>COUNTIF($C$2:C83,C83)</f>
        <v>5</v>
      </c>
      <c r="S83" s="50">
        <v>82</v>
      </c>
    </row>
    <row r="84" spans="1:19">
      <c r="A84" s="45" t="s">
        <v>242</v>
      </c>
      <c r="B84" s="46">
        <v>45504</v>
      </c>
      <c r="C84" s="45" t="s">
        <v>154</v>
      </c>
      <c r="D84" s="45" t="s">
        <v>155</v>
      </c>
      <c r="E84" s="45" t="s">
        <v>98</v>
      </c>
      <c r="F84" s="45" t="s">
        <v>99</v>
      </c>
      <c r="G84" s="45" t="s">
        <v>56</v>
      </c>
      <c r="H84" s="45">
        <v>4</v>
      </c>
      <c r="I84" s="47">
        <v>899.99</v>
      </c>
      <c r="J84" s="45" t="s">
        <v>94</v>
      </c>
      <c r="K84" s="45" t="s">
        <v>72</v>
      </c>
      <c r="L84" s="45" t="s">
        <v>73</v>
      </c>
      <c r="M84" s="46">
        <v>44523</v>
      </c>
      <c r="N84" s="47">
        <v>3599.96</v>
      </c>
      <c r="O84" s="48">
        <f>EOMONTH(B84,0)</f>
        <v>45504</v>
      </c>
      <c r="P84" s="49" t="str">
        <f>"Q"&amp;ROUNDUP(MONTH(B84)/3,0)&amp;"-"&amp;YEAR(B84)</f>
        <v>Q3-2024</v>
      </c>
      <c r="Q84" s="50">
        <f ca="1">TODAY()-B84</f>
        <v>820</v>
      </c>
      <c r="R84" s="50">
        <f>COUNTIF($C$2:C84,C84)</f>
        <v>3</v>
      </c>
      <c r="S84" s="50">
        <v>83</v>
      </c>
    </row>
    <row r="85" spans="1:19">
      <c r="A85" s="45" t="s">
        <v>243</v>
      </c>
      <c r="B85" s="46">
        <v>45509</v>
      </c>
      <c r="C85" s="45" t="s">
        <v>244</v>
      </c>
      <c r="D85" s="45" t="s">
        <v>245</v>
      </c>
      <c r="E85" s="45" t="s">
        <v>81</v>
      </c>
      <c r="F85" s="45" t="s">
        <v>82</v>
      </c>
      <c r="G85" s="45" t="s">
        <v>83</v>
      </c>
      <c r="H85" s="45">
        <v>2</v>
      </c>
      <c r="I85" s="47">
        <v>149.99</v>
      </c>
      <c r="J85" s="45" t="s">
        <v>63</v>
      </c>
      <c r="K85" s="45" t="s">
        <v>87</v>
      </c>
      <c r="L85" s="45" t="s">
        <v>59</v>
      </c>
      <c r="M85" s="46">
        <v>44542</v>
      </c>
      <c r="N85" s="47">
        <v>299.98</v>
      </c>
      <c r="O85" s="48">
        <f>EOMONTH(B85,0)</f>
        <v>45535</v>
      </c>
      <c r="P85" s="49" t="str">
        <f>"Q"&amp;ROUNDUP(MONTH(B85)/3,0)&amp;"-"&amp;YEAR(B85)</f>
        <v>Q3-2024</v>
      </c>
      <c r="Q85" s="50">
        <f ca="1">TODAY()-B85</f>
        <v>815</v>
      </c>
      <c r="R85" s="50">
        <f>COUNTIF($C$2:C85,C85)</f>
        <v>1</v>
      </c>
      <c r="S85" s="50">
        <v>84</v>
      </c>
    </row>
    <row r="86" spans="1:19">
      <c r="A86" s="45" t="s">
        <v>246</v>
      </c>
      <c r="B86" s="46">
        <v>45510</v>
      </c>
      <c r="C86" s="45" t="s">
        <v>136</v>
      </c>
      <c r="D86" s="45" t="s">
        <v>137</v>
      </c>
      <c r="E86" s="45" t="s">
        <v>81</v>
      </c>
      <c r="F86" s="45" t="s">
        <v>82</v>
      </c>
      <c r="G86" s="45" t="s">
        <v>83</v>
      </c>
      <c r="H86" s="45">
        <v>2</v>
      </c>
      <c r="I86" s="47">
        <v>149.99</v>
      </c>
      <c r="J86" s="45" t="s">
        <v>94</v>
      </c>
      <c r="K86" s="45" t="s">
        <v>100</v>
      </c>
      <c r="L86" s="45" t="s">
        <v>73</v>
      </c>
      <c r="M86" s="46">
        <v>44667</v>
      </c>
      <c r="N86" s="47">
        <v>299.98</v>
      </c>
      <c r="O86" s="48">
        <f>EOMONTH(B86,0)</f>
        <v>45535</v>
      </c>
      <c r="P86" s="49" t="str">
        <f>"Q"&amp;ROUNDUP(MONTH(B86)/3,0)&amp;"-"&amp;YEAR(B86)</f>
        <v>Q3-2024</v>
      </c>
      <c r="Q86" s="50">
        <f ca="1">TODAY()-B86</f>
        <v>814</v>
      </c>
      <c r="R86" s="50">
        <f>COUNTIF($C$2:C86,C86)</f>
        <v>2</v>
      </c>
      <c r="S86" s="50">
        <v>85</v>
      </c>
    </row>
    <row r="87" spans="1:19">
      <c r="A87" s="45" t="s">
        <v>247</v>
      </c>
      <c r="B87" s="46">
        <v>45513</v>
      </c>
      <c r="C87" s="45" t="s">
        <v>125</v>
      </c>
      <c r="D87" s="45" t="s">
        <v>126</v>
      </c>
      <c r="E87" s="45" t="s">
        <v>151</v>
      </c>
      <c r="F87" s="45" t="s">
        <v>152</v>
      </c>
      <c r="G87" s="45" t="s">
        <v>56</v>
      </c>
      <c r="H87" s="45">
        <v>1</v>
      </c>
      <c r="I87" s="47">
        <v>89.99</v>
      </c>
      <c r="J87" s="45" t="s">
        <v>63</v>
      </c>
      <c r="K87" s="45" t="s">
        <v>77</v>
      </c>
      <c r="L87" s="45" t="s">
        <v>73</v>
      </c>
      <c r="M87" s="46">
        <v>45393</v>
      </c>
      <c r="N87" s="47">
        <v>89.99</v>
      </c>
      <c r="O87" s="48">
        <f>EOMONTH(B87,0)</f>
        <v>45535</v>
      </c>
      <c r="P87" s="49" t="str">
        <f>"Q"&amp;ROUNDUP(MONTH(B87)/3,0)&amp;"-"&amp;YEAR(B87)</f>
        <v>Q3-2024</v>
      </c>
      <c r="Q87" s="50">
        <f ca="1">TODAY()-B87</f>
        <v>811</v>
      </c>
      <c r="R87" s="50">
        <f>COUNTIF($C$2:C87,C87)</f>
        <v>2</v>
      </c>
      <c r="S87" s="50">
        <v>86</v>
      </c>
    </row>
    <row r="88" spans="1:19">
      <c r="A88" s="45" t="s">
        <v>248</v>
      </c>
      <c r="B88" s="46">
        <v>45515</v>
      </c>
      <c r="C88" s="45" t="s">
        <v>123</v>
      </c>
      <c r="D88" s="45" t="s">
        <v>24</v>
      </c>
      <c r="E88" s="45" t="s">
        <v>139</v>
      </c>
      <c r="F88" s="45" t="s">
        <v>140</v>
      </c>
      <c r="G88" s="45" t="s">
        <v>83</v>
      </c>
      <c r="H88" s="45">
        <v>5</v>
      </c>
      <c r="I88" s="47">
        <v>299.99</v>
      </c>
      <c r="J88" s="45" t="s">
        <v>63</v>
      </c>
      <c r="K88" s="45" t="s">
        <v>77</v>
      </c>
      <c r="L88" s="45" t="s">
        <v>59</v>
      </c>
      <c r="M88" s="46">
        <v>44965</v>
      </c>
      <c r="N88" s="47">
        <v>1499.95</v>
      </c>
      <c r="O88" s="48">
        <f>EOMONTH(B88,0)</f>
        <v>45535</v>
      </c>
      <c r="P88" s="49" t="str">
        <f>"Q"&amp;ROUNDUP(MONTH(B88)/3,0)&amp;"-"&amp;YEAR(B88)</f>
        <v>Q3-2024</v>
      </c>
      <c r="Q88" s="50">
        <f ca="1">TODAY()-B88</f>
        <v>809</v>
      </c>
      <c r="R88" s="50">
        <f>COUNTIF($C$2:C88,C88)</f>
        <v>6</v>
      </c>
      <c r="S88" s="50">
        <v>87</v>
      </c>
    </row>
    <row r="89" spans="1:19">
      <c r="A89" s="45" t="s">
        <v>249</v>
      </c>
      <c r="B89" s="46">
        <v>45517</v>
      </c>
      <c r="C89" s="45" t="s">
        <v>215</v>
      </c>
      <c r="D89" s="45" t="s">
        <v>216</v>
      </c>
      <c r="E89" s="45" t="s">
        <v>89</v>
      </c>
      <c r="F89" s="45" t="s">
        <v>90</v>
      </c>
      <c r="G89" s="45" t="s">
        <v>56</v>
      </c>
      <c r="H89" s="45">
        <v>4</v>
      </c>
      <c r="I89" s="47">
        <v>149.99</v>
      </c>
      <c r="J89" s="45" t="s">
        <v>94</v>
      </c>
      <c r="K89" s="45" t="s">
        <v>72</v>
      </c>
      <c r="L89" s="45" t="s">
        <v>64</v>
      </c>
      <c r="M89" s="46">
        <v>44820</v>
      </c>
      <c r="N89" s="47">
        <v>599.96</v>
      </c>
      <c r="O89" s="48">
        <f>EOMONTH(B89,0)</f>
        <v>45535</v>
      </c>
      <c r="P89" s="49" t="str">
        <f>"Q"&amp;ROUNDUP(MONTH(B89)/3,0)&amp;"-"&amp;YEAR(B89)</f>
        <v>Q3-2024</v>
      </c>
      <c r="Q89" s="50">
        <f ca="1">TODAY()-B89</f>
        <v>807</v>
      </c>
      <c r="R89" s="50">
        <f>COUNTIF($C$2:C89,C89)</f>
        <v>3</v>
      </c>
      <c r="S89" s="50">
        <v>88</v>
      </c>
    </row>
    <row r="90" spans="1:19">
      <c r="A90" s="45" t="s">
        <v>250</v>
      </c>
      <c r="B90" s="46">
        <v>45517</v>
      </c>
      <c r="C90" s="45" t="s">
        <v>218</v>
      </c>
      <c r="D90" s="45" t="s">
        <v>219</v>
      </c>
      <c r="E90" s="45" t="s">
        <v>54</v>
      </c>
      <c r="F90" s="45" t="s">
        <v>55</v>
      </c>
      <c r="G90" s="45" t="s">
        <v>56</v>
      </c>
      <c r="H90" s="45">
        <v>5</v>
      </c>
      <c r="I90" s="47">
        <v>249.99</v>
      </c>
      <c r="J90" s="45" t="s">
        <v>71</v>
      </c>
      <c r="K90" s="45" t="s">
        <v>100</v>
      </c>
      <c r="L90" s="45" t="s">
        <v>64</v>
      </c>
      <c r="M90" s="46">
        <v>44782</v>
      </c>
      <c r="N90" s="47">
        <v>1249.95</v>
      </c>
      <c r="O90" s="48">
        <f>EOMONTH(B90,0)</f>
        <v>45535</v>
      </c>
      <c r="P90" s="49" t="str">
        <f>"Q"&amp;ROUNDUP(MONTH(B90)/3,0)&amp;"-"&amp;YEAR(B90)</f>
        <v>Q3-2024</v>
      </c>
      <c r="Q90" s="50">
        <f ca="1">TODAY()-B90</f>
        <v>807</v>
      </c>
      <c r="R90" s="50">
        <f>COUNTIF($C$2:C90,C90)</f>
        <v>2</v>
      </c>
      <c r="S90" s="50">
        <v>89</v>
      </c>
    </row>
    <row r="91" spans="1:19">
      <c r="A91" s="45" t="s">
        <v>251</v>
      </c>
      <c r="B91" s="46">
        <v>45517</v>
      </c>
      <c r="C91" s="45" t="s">
        <v>102</v>
      </c>
      <c r="D91" s="45" t="s">
        <v>103</v>
      </c>
      <c r="E91" s="45" t="s">
        <v>54</v>
      </c>
      <c r="F91" s="45" t="s">
        <v>55</v>
      </c>
      <c r="G91" s="45" t="s">
        <v>56</v>
      </c>
      <c r="H91" s="45">
        <v>3</v>
      </c>
      <c r="I91" s="47">
        <v>249.99</v>
      </c>
      <c r="J91" s="45" t="s">
        <v>71</v>
      </c>
      <c r="K91" s="45" t="s">
        <v>77</v>
      </c>
      <c r="L91" s="45" t="s">
        <v>64</v>
      </c>
      <c r="M91" s="46">
        <v>44465</v>
      </c>
      <c r="N91" s="47">
        <v>749.97</v>
      </c>
      <c r="O91" s="48">
        <f>EOMONTH(B91,0)</f>
        <v>45535</v>
      </c>
      <c r="P91" s="49" t="str">
        <f>"Q"&amp;ROUNDUP(MONTH(B91)/3,0)&amp;"-"&amp;YEAR(B91)</f>
        <v>Q3-2024</v>
      </c>
      <c r="Q91" s="50">
        <f ca="1">TODAY()-B91</f>
        <v>807</v>
      </c>
      <c r="R91" s="50">
        <f>COUNTIF($C$2:C91,C91)</f>
        <v>3</v>
      </c>
      <c r="S91" s="50">
        <v>90</v>
      </c>
    </row>
    <row r="92" spans="1:19">
      <c r="A92" s="45" t="s">
        <v>252</v>
      </c>
      <c r="B92" s="46">
        <v>45517</v>
      </c>
      <c r="C92" s="45" t="s">
        <v>75</v>
      </c>
      <c r="D92" s="45" t="s">
        <v>76</v>
      </c>
      <c r="E92" s="45" t="s">
        <v>159</v>
      </c>
      <c r="F92" s="45" t="s">
        <v>160</v>
      </c>
      <c r="G92" s="45" t="s">
        <v>83</v>
      </c>
      <c r="H92" s="45">
        <v>4</v>
      </c>
      <c r="I92" s="47">
        <v>199.99</v>
      </c>
      <c r="J92" s="45" t="s">
        <v>57</v>
      </c>
      <c r="K92" s="45" t="s">
        <v>77</v>
      </c>
      <c r="L92" s="45" t="s">
        <v>73</v>
      </c>
      <c r="M92" s="46">
        <v>44458</v>
      </c>
      <c r="N92" s="47">
        <v>799.96</v>
      </c>
      <c r="O92" s="48">
        <f>EOMONTH(B92,0)</f>
        <v>45535</v>
      </c>
      <c r="P92" s="49" t="str">
        <f>"Q"&amp;ROUNDUP(MONTH(B92)/3,0)&amp;"-"&amp;YEAR(B92)</f>
        <v>Q3-2024</v>
      </c>
      <c r="Q92" s="50">
        <f ca="1">TODAY()-B92</f>
        <v>807</v>
      </c>
      <c r="R92" s="50">
        <f>COUNTIF($C$2:C92,C92)</f>
        <v>4</v>
      </c>
      <c r="S92" s="50">
        <v>91</v>
      </c>
    </row>
    <row r="93" spans="1:19">
      <c r="A93" s="45" t="s">
        <v>253</v>
      </c>
      <c r="B93" s="46">
        <v>45519</v>
      </c>
      <c r="C93" s="45" t="s">
        <v>191</v>
      </c>
      <c r="D93" s="45" t="s">
        <v>192</v>
      </c>
      <c r="E93" s="45" t="s">
        <v>159</v>
      </c>
      <c r="F93" s="45" t="s">
        <v>160</v>
      </c>
      <c r="G93" s="45" t="s">
        <v>83</v>
      </c>
      <c r="H93" s="45">
        <v>5</v>
      </c>
      <c r="I93" s="47">
        <v>199.99</v>
      </c>
      <c r="J93" s="45" t="s">
        <v>57</v>
      </c>
      <c r="K93" s="45" t="s">
        <v>77</v>
      </c>
      <c r="L93" s="45" t="s">
        <v>64</v>
      </c>
      <c r="M93" s="46">
        <v>44991</v>
      </c>
      <c r="N93" s="47">
        <v>999.95</v>
      </c>
      <c r="O93" s="48">
        <f>EOMONTH(B93,0)</f>
        <v>45535</v>
      </c>
      <c r="P93" s="49" t="str">
        <f>"Q"&amp;ROUNDUP(MONTH(B93)/3,0)&amp;"-"&amp;YEAR(B93)</f>
        <v>Q3-2024</v>
      </c>
      <c r="Q93" s="50">
        <f ca="1">TODAY()-B93</f>
        <v>805</v>
      </c>
      <c r="R93" s="50">
        <f>COUNTIF($C$2:C93,C93)</f>
        <v>3</v>
      </c>
      <c r="S93" s="50">
        <v>92</v>
      </c>
    </row>
    <row r="94" spans="1:19">
      <c r="A94" s="45" t="s">
        <v>254</v>
      </c>
      <c r="B94" s="46">
        <v>45522</v>
      </c>
      <c r="C94" s="45" t="s">
        <v>123</v>
      </c>
      <c r="D94" s="45" t="s">
        <v>24</v>
      </c>
      <c r="E94" s="45" t="s">
        <v>151</v>
      </c>
      <c r="F94" s="45" t="s">
        <v>152</v>
      </c>
      <c r="G94" s="45" t="s">
        <v>56</v>
      </c>
      <c r="H94" s="45">
        <v>2</v>
      </c>
      <c r="I94" s="47">
        <v>89.99</v>
      </c>
      <c r="J94" s="45" t="s">
        <v>57</v>
      </c>
      <c r="K94" s="45" t="s">
        <v>100</v>
      </c>
      <c r="L94" s="45" t="s">
        <v>64</v>
      </c>
      <c r="M94" s="46">
        <v>44972</v>
      </c>
      <c r="N94" s="47">
        <v>179.98</v>
      </c>
      <c r="O94" s="48">
        <f>EOMONTH(B94,0)</f>
        <v>45535</v>
      </c>
      <c r="P94" s="49" t="str">
        <f>"Q"&amp;ROUNDUP(MONTH(B94)/3,0)&amp;"-"&amp;YEAR(B94)</f>
        <v>Q3-2024</v>
      </c>
      <c r="Q94" s="50">
        <f ca="1">TODAY()-B94</f>
        <v>802</v>
      </c>
      <c r="R94" s="50">
        <f>COUNTIF($C$2:C94,C94)</f>
        <v>7</v>
      </c>
      <c r="S94" s="50">
        <v>93</v>
      </c>
    </row>
    <row r="95" spans="1:19">
      <c r="A95" s="45" t="s">
        <v>255</v>
      </c>
      <c r="B95" s="46">
        <v>45523</v>
      </c>
      <c r="C95" s="45" t="s">
        <v>229</v>
      </c>
      <c r="D95" s="45" t="s">
        <v>230</v>
      </c>
      <c r="E95" s="45" t="s">
        <v>98</v>
      </c>
      <c r="F95" s="45" t="s">
        <v>99</v>
      </c>
      <c r="G95" s="45" t="s">
        <v>56</v>
      </c>
      <c r="H95" s="45">
        <v>5</v>
      </c>
      <c r="I95" s="47">
        <v>899.99</v>
      </c>
      <c r="J95" s="45" t="s">
        <v>94</v>
      </c>
      <c r="K95" s="45" t="s">
        <v>100</v>
      </c>
      <c r="L95" s="45" t="s">
        <v>59</v>
      </c>
      <c r="M95" s="46">
        <v>44526</v>
      </c>
      <c r="N95" s="47">
        <v>4499.95</v>
      </c>
      <c r="O95" s="48">
        <f>EOMONTH(B95,0)</f>
        <v>45535</v>
      </c>
      <c r="P95" s="49" t="str">
        <f>"Q"&amp;ROUNDUP(MONTH(B95)/3,0)&amp;"-"&amp;YEAR(B95)</f>
        <v>Q3-2024</v>
      </c>
      <c r="Q95" s="50">
        <f ca="1">TODAY()-B95</f>
        <v>801</v>
      </c>
      <c r="R95" s="50">
        <f>COUNTIF($C$2:C95,C95)</f>
        <v>3</v>
      </c>
      <c r="S95" s="50">
        <v>94</v>
      </c>
    </row>
    <row r="96" spans="1:19">
      <c r="A96" s="45" t="s">
        <v>256</v>
      </c>
      <c r="B96" s="46">
        <v>45523</v>
      </c>
      <c r="C96" s="45" t="s">
        <v>142</v>
      </c>
      <c r="D96" s="45" t="s">
        <v>143</v>
      </c>
      <c r="E96" s="45" t="s">
        <v>89</v>
      </c>
      <c r="F96" s="45" t="s">
        <v>90</v>
      </c>
      <c r="G96" s="45" t="s">
        <v>56</v>
      </c>
      <c r="H96" s="45">
        <v>3</v>
      </c>
      <c r="I96" s="47">
        <v>149.99</v>
      </c>
      <c r="J96" s="45" t="s">
        <v>71</v>
      </c>
      <c r="K96" s="45" t="s">
        <v>100</v>
      </c>
      <c r="L96" s="45" t="s">
        <v>59</v>
      </c>
      <c r="M96" s="46">
        <v>44574</v>
      </c>
      <c r="N96" s="47">
        <v>449.97</v>
      </c>
      <c r="O96" s="48">
        <f>EOMONTH(B96,0)</f>
        <v>45535</v>
      </c>
      <c r="P96" s="49" t="str">
        <f>"Q"&amp;ROUNDUP(MONTH(B96)/3,0)&amp;"-"&amp;YEAR(B96)</f>
        <v>Q3-2024</v>
      </c>
      <c r="Q96" s="50">
        <f ca="1">TODAY()-B96</f>
        <v>801</v>
      </c>
      <c r="R96" s="50">
        <f>COUNTIF($C$2:C96,C96)</f>
        <v>2</v>
      </c>
      <c r="S96" s="50">
        <v>95</v>
      </c>
    </row>
    <row r="97" spans="1:19">
      <c r="A97" s="45" t="s">
        <v>257</v>
      </c>
      <c r="B97" s="46">
        <v>45526</v>
      </c>
      <c r="C97" s="45" t="s">
        <v>136</v>
      </c>
      <c r="D97" s="45" t="s">
        <v>137</v>
      </c>
      <c r="E97" s="45" t="s">
        <v>81</v>
      </c>
      <c r="F97" s="45" t="s">
        <v>82</v>
      </c>
      <c r="G97" s="45" t="s">
        <v>83</v>
      </c>
      <c r="H97" s="45">
        <v>5</v>
      </c>
      <c r="I97" s="47">
        <v>149.99</v>
      </c>
      <c r="J97" s="45" t="s">
        <v>63</v>
      </c>
      <c r="K97" s="45" t="s">
        <v>58</v>
      </c>
      <c r="L97" s="45" t="s">
        <v>59</v>
      </c>
      <c r="M97" s="46">
        <v>45310</v>
      </c>
      <c r="N97" s="47">
        <v>749.95</v>
      </c>
      <c r="O97" s="48">
        <f>EOMONTH(B97,0)</f>
        <v>45535</v>
      </c>
      <c r="P97" s="49" t="str">
        <f>"Q"&amp;ROUNDUP(MONTH(B97)/3,0)&amp;"-"&amp;YEAR(B97)</f>
        <v>Q3-2024</v>
      </c>
      <c r="Q97" s="50">
        <f ca="1">TODAY()-B97</f>
        <v>798</v>
      </c>
      <c r="R97" s="50">
        <f>COUNTIF($C$2:C97,C97)</f>
        <v>3</v>
      </c>
      <c r="S97" s="50">
        <v>96</v>
      </c>
    </row>
    <row r="98" spans="1:19">
      <c r="A98" s="45" t="s">
        <v>258</v>
      </c>
      <c r="B98" s="46">
        <v>45528</v>
      </c>
      <c r="C98" s="45" t="s">
        <v>259</v>
      </c>
      <c r="D98" s="45" t="s">
        <v>260</v>
      </c>
      <c r="E98" s="45" t="s">
        <v>148</v>
      </c>
      <c r="F98" s="45" t="s">
        <v>149</v>
      </c>
      <c r="G98" s="45" t="s">
        <v>70</v>
      </c>
      <c r="H98" s="45">
        <v>3</v>
      </c>
      <c r="I98" s="47">
        <v>79.989999999999995</v>
      </c>
      <c r="J98" s="45" t="s">
        <v>57</v>
      </c>
      <c r="K98" s="45" t="s">
        <v>58</v>
      </c>
      <c r="L98" s="45" t="s">
        <v>64</v>
      </c>
      <c r="M98" s="46">
        <v>44779</v>
      </c>
      <c r="N98" s="47">
        <v>239.97</v>
      </c>
      <c r="O98" s="48">
        <f>EOMONTH(B98,0)</f>
        <v>45535</v>
      </c>
      <c r="P98" s="49" t="str">
        <f>"Q"&amp;ROUNDUP(MONTH(B98)/3,0)&amp;"-"&amp;YEAR(B98)</f>
        <v>Q3-2024</v>
      </c>
      <c r="Q98" s="50">
        <f ca="1">TODAY()-B98</f>
        <v>796</v>
      </c>
      <c r="R98" s="50">
        <f>COUNTIF($C$2:C98,C98)</f>
        <v>1</v>
      </c>
      <c r="S98" s="50">
        <v>97</v>
      </c>
    </row>
    <row r="99" spans="1:19">
      <c r="A99" s="45" t="s">
        <v>261</v>
      </c>
      <c r="B99" s="46">
        <v>45528</v>
      </c>
      <c r="C99" s="45" t="s">
        <v>177</v>
      </c>
      <c r="D99" s="45" t="s">
        <v>178</v>
      </c>
      <c r="E99" s="45" t="s">
        <v>54</v>
      </c>
      <c r="F99" s="45" t="s">
        <v>55</v>
      </c>
      <c r="G99" s="45" t="s">
        <v>56</v>
      </c>
      <c r="H99" s="45">
        <v>2</v>
      </c>
      <c r="I99" s="47">
        <v>249.99</v>
      </c>
      <c r="J99" s="45" t="s">
        <v>57</v>
      </c>
      <c r="K99" s="45" t="s">
        <v>72</v>
      </c>
      <c r="L99" s="45" t="s">
        <v>73</v>
      </c>
      <c r="M99" s="46">
        <v>44572</v>
      </c>
      <c r="N99" s="47">
        <v>499.98</v>
      </c>
      <c r="O99" s="48">
        <f>EOMONTH(B99,0)</f>
        <v>45535</v>
      </c>
      <c r="P99" s="49" t="str">
        <f>"Q"&amp;ROUNDUP(MONTH(B99)/3,0)&amp;"-"&amp;YEAR(B99)</f>
        <v>Q3-2024</v>
      </c>
      <c r="Q99" s="50">
        <f ca="1">TODAY()-B99</f>
        <v>796</v>
      </c>
      <c r="R99" s="50">
        <f>COUNTIF($C$2:C99,C99)</f>
        <v>2</v>
      </c>
      <c r="S99" s="50">
        <v>98</v>
      </c>
    </row>
    <row r="100" spans="1:19">
      <c r="A100" s="45" t="s">
        <v>262</v>
      </c>
      <c r="B100" s="46">
        <v>45532</v>
      </c>
      <c r="C100" s="45" t="s">
        <v>229</v>
      </c>
      <c r="D100" s="45" t="s">
        <v>230</v>
      </c>
      <c r="E100" s="45" t="s">
        <v>117</v>
      </c>
      <c r="F100" s="45" t="s">
        <v>118</v>
      </c>
      <c r="G100" s="45" t="s">
        <v>56</v>
      </c>
      <c r="H100" s="45">
        <v>1</v>
      </c>
      <c r="I100" s="47">
        <v>699.99</v>
      </c>
      <c r="J100" s="45" t="s">
        <v>57</v>
      </c>
      <c r="K100" s="45" t="s">
        <v>58</v>
      </c>
      <c r="L100" s="45" t="s">
        <v>64</v>
      </c>
      <c r="M100" s="46">
        <v>44497</v>
      </c>
      <c r="N100" s="47">
        <v>699.99</v>
      </c>
      <c r="O100" s="48">
        <f>EOMONTH(B100,0)</f>
        <v>45535</v>
      </c>
      <c r="P100" s="49" t="str">
        <f>"Q"&amp;ROUNDUP(MONTH(B100)/3,0)&amp;"-"&amp;YEAR(B100)</f>
        <v>Q3-2024</v>
      </c>
      <c r="Q100" s="50">
        <f ca="1">TODAY()-B100</f>
        <v>792</v>
      </c>
      <c r="R100" s="50">
        <f>COUNTIF($C$2:C100,C100)</f>
        <v>4</v>
      </c>
      <c r="S100" s="50">
        <v>99</v>
      </c>
    </row>
    <row r="101" spans="1:19">
      <c r="A101" s="45" t="s">
        <v>263</v>
      </c>
      <c r="B101" s="46">
        <v>45532</v>
      </c>
      <c r="C101" s="45" t="s">
        <v>264</v>
      </c>
      <c r="D101" s="45" t="s">
        <v>265</v>
      </c>
      <c r="E101" s="45" t="s">
        <v>89</v>
      </c>
      <c r="F101" s="45" t="s">
        <v>90</v>
      </c>
      <c r="G101" s="45" t="s">
        <v>56</v>
      </c>
      <c r="H101" s="45">
        <v>3</v>
      </c>
      <c r="I101" s="47">
        <v>149.99</v>
      </c>
      <c r="J101" s="45" t="s">
        <v>57</v>
      </c>
      <c r="K101" s="45" t="s">
        <v>87</v>
      </c>
      <c r="L101" s="45" t="s">
        <v>64</v>
      </c>
      <c r="M101" s="46">
        <v>45212</v>
      </c>
      <c r="N101" s="47">
        <v>449.97</v>
      </c>
      <c r="O101" s="48">
        <f>EOMONTH(B101,0)</f>
        <v>45535</v>
      </c>
      <c r="P101" s="49" t="str">
        <f>"Q"&amp;ROUNDUP(MONTH(B101)/3,0)&amp;"-"&amp;YEAR(B101)</f>
        <v>Q3-2024</v>
      </c>
      <c r="Q101" s="50">
        <f ca="1">TODAY()-B101</f>
        <v>792</v>
      </c>
      <c r="R101" s="50">
        <f>COUNTIF($C$2:C101,C101)</f>
        <v>1</v>
      </c>
      <c r="S101" s="50">
        <v>100</v>
      </c>
    </row>
    <row r="102" spans="1:19">
      <c r="A102" s="45" t="s">
        <v>266</v>
      </c>
      <c r="B102" s="46">
        <v>45534</v>
      </c>
      <c r="C102" s="45" t="s">
        <v>267</v>
      </c>
      <c r="D102" s="45" t="s">
        <v>268</v>
      </c>
      <c r="E102" s="45" t="s">
        <v>117</v>
      </c>
      <c r="F102" s="45" t="s">
        <v>118</v>
      </c>
      <c r="G102" s="45" t="s">
        <v>56</v>
      </c>
      <c r="H102" s="45">
        <v>2</v>
      </c>
      <c r="I102" s="47">
        <v>699.99</v>
      </c>
      <c r="J102" s="45" t="s">
        <v>63</v>
      </c>
      <c r="K102" s="45" t="s">
        <v>77</v>
      </c>
      <c r="L102" s="45" t="s">
        <v>64</v>
      </c>
      <c r="M102" s="46">
        <v>44421</v>
      </c>
      <c r="N102" s="47">
        <v>1399.98</v>
      </c>
      <c r="O102" s="48">
        <f>EOMONTH(B102,0)</f>
        <v>45535</v>
      </c>
      <c r="P102" s="49" t="str">
        <f>"Q"&amp;ROUNDUP(MONTH(B102)/3,0)&amp;"-"&amp;YEAR(B102)</f>
        <v>Q3-2024</v>
      </c>
      <c r="Q102" s="50">
        <f ca="1">TODAY()-B102</f>
        <v>790</v>
      </c>
      <c r="R102" s="50">
        <f>COUNTIF($C$2:C102,C102)</f>
        <v>1</v>
      </c>
      <c r="S102" s="50">
        <v>101</v>
      </c>
    </row>
    <row r="103" spans="1:19">
      <c r="A103" s="45" t="s">
        <v>269</v>
      </c>
      <c r="B103" s="46">
        <v>45537</v>
      </c>
      <c r="C103" s="45" t="s">
        <v>264</v>
      </c>
      <c r="D103" s="45" t="s">
        <v>265</v>
      </c>
      <c r="E103" s="45" t="s">
        <v>54</v>
      </c>
      <c r="F103" s="45" t="s">
        <v>55</v>
      </c>
      <c r="G103" s="45" t="s">
        <v>56</v>
      </c>
      <c r="H103" s="45">
        <v>1</v>
      </c>
      <c r="I103" s="47">
        <v>249.99</v>
      </c>
      <c r="J103" s="45" t="s">
        <v>63</v>
      </c>
      <c r="K103" s="45" t="s">
        <v>87</v>
      </c>
      <c r="L103" s="45" t="s">
        <v>64</v>
      </c>
      <c r="M103" s="46">
        <v>44685</v>
      </c>
      <c r="N103" s="47">
        <v>249.99</v>
      </c>
      <c r="O103" s="48">
        <f>EOMONTH(B103,0)</f>
        <v>45565</v>
      </c>
      <c r="P103" s="49" t="str">
        <f>"Q"&amp;ROUNDUP(MONTH(B103)/3,0)&amp;"-"&amp;YEAR(B103)</f>
        <v>Q3-2024</v>
      </c>
      <c r="Q103" s="50">
        <f ca="1">TODAY()-B103</f>
        <v>787</v>
      </c>
      <c r="R103" s="50">
        <f>COUNTIF($C$2:C103,C103)</f>
        <v>2</v>
      </c>
      <c r="S103" s="50">
        <v>102</v>
      </c>
    </row>
    <row r="104" spans="1:19">
      <c r="A104" s="45" t="s">
        <v>270</v>
      </c>
      <c r="B104" s="46">
        <v>45537</v>
      </c>
      <c r="C104" s="45" t="s">
        <v>53</v>
      </c>
      <c r="D104" s="45" t="s">
        <v>32</v>
      </c>
      <c r="E104" s="45" t="s">
        <v>54</v>
      </c>
      <c r="F104" s="45" t="s">
        <v>55</v>
      </c>
      <c r="G104" s="45" t="s">
        <v>56</v>
      </c>
      <c r="H104" s="45">
        <v>1</v>
      </c>
      <c r="I104" s="47">
        <v>249.99</v>
      </c>
      <c r="J104" s="45" t="s">
        <v>94</v>
      </c>
      <c r="K104" s="45" t="s">
        <v>77</v>
      </c>
      <c r="L104" s="45" t="s">
        <v>64</v>
      </c>
      <c r="M104" s="46">
        <v>45332</v>
      </c>
      <c r="N104" s="47">
        <v>249.99</v>
      </c>
      <c r="O104" s="48">
        <f>EOMONTH(B104,0)</f>
        <v>45565</v>
      </c>
      <c r="P104" s="49" t="str">
        <f>"Q"&amp;ROUNDUP(MONTH(B104)/3,0)&amp;"-"&amp;YEAR(B104)</f>
        <v>Q3-2024</v>
      </c>
      <c r="Q104" s="50">
        <f ca="1">TODAY()-B104</f>
        <v>787</v>
      </c>
      <c r="R104" s="50">
        <f>COUNTIF($C$2:C104,C104)</f>
        <v>3</v>
      </c>
      <c r="S104" s="50">
        <v>103</v>
      </c>
    </row>
    <row r="105" spans="1:19">
      <c r="A105" s="45" t="s">
        <v>271</v>
      </c>
      <c r="B105" s="46">
        <v>45538</v>
      </c>
      <c r="C105" s="45" t="s">
        <v>259</v>
      </c>
      <c r="D105" s="45" t="s">
        <v>260</v>
      </c>
      <c r="E105" s="45" t="s">
        <v>117</v>
      </c>
      <c r="F105" s="45" t="s">
        <v>118</v>
      </c>
      <c r="G105" s="45" t="s">
        <v>56</v>
      </c>
      <c r="H105" s="45">
        <v>2</v>
      </c>
      <c r="I105" s="47">
        <v>699.99</v>
      </c>
      <c r="J105" s="45" t="s">
        <v>94</v>
      </c>
      <c r="K105" s="45" t="s">
        <v>58</v>
      </c>
      <c r="L105" s="45" t="s">
        <v>64</v>
      </c>
      <c r="M105" s="46">
        <v>44870</v>
      </c>
      <c r="N105" s="47">
        <v>1399.98</v>
      </c>
      <c r="O105" s="48">
        <f>EOMONTH(B105,0)</f>
        <v>45565</v>
      </c>
      <c r="P105" s="49" t="str">
        <f>"Q"&amp;ROUNDUP(MONTH(B105)/3,0)&amp;"-"&amp;YEAR(B105)</f>
        <v>Q3-2024</v>
      </c>
      <c r="Q105" s="50">
        <f ca="1">TODAY()-B105</f>
        <v>786</v>
      </c>
      <c r="R105" s="50">
        <f>COUNTIF($C$2:C105,C105)</f>
        <v>2</v>
      </c>
      <c r="S105" s="50">
        <v>104</v>
      </c>
    </row>
    <row r="106" spans="1:19">
      <c r="A106" s="45" t="s">
        <v>272</v>
      </c>
      <c r="B106" s="46">
        <v>45541</v>
      </c>
      <c r="C106" s="45" t="s">
        <v>171</v>
      </c>
      <c r="D106" s="45" t="s">
        <v>172</v>
      </c>
      <c r="E106" s="45" t="s">
        <v>68</v>
      </c>
      <c r="F106" s="45" t="s">
        <v>69</v>
      </c>
      <c r="G106" s="45" t="s">
        <v>70</v>
      </c>
      <c r="H106" s="45">
        <v>3</v>
      </c>
      <c r="I106" s="47">
        <v>59.99</v>
      </c>
      <c r="J106" s="45" t="s">
        <v>63</v>
      </c>
      <c r="K106" s="45" t="s">
        <v>58</v>
      </c>
      <c r="L106" s="45" t="s">
        <v>64</v>
      </c>
      <c r="M106" s="46">
        <v>44717</v>
      </c>
      <c r="N106" s="47">
        <v>179.97</v>
      </c>
      <c r="O106" s="48">
        <f>EOMONTH(B106,0)</f>
        <v>45565</v>
      </c>
      <c r="P106" s="49" t="str">
        <f>"Q"&amp;ROUNDUP(MONTH(B106)/3,0)&amp;"-"&amp;YEAR(B106)</f>
        <v>Q3-2024</v>
      </c>
      <c r="Q106" s="50">
        <f ca="1">TODAY()-B106</f>
        <v>783</v>
      </c>
      <c r="R106" s="50">
        <f>COUNTIF($C$2:C106,C106)</f>
        <v>2</v>
      </c>
      <c r="S106" s="50">
        <v>105</v>
      </c>
    </row>
    <row r="107" spans="1:19">
      <c r="A107" s="45" t="s">
        <v>273</v>
      </c>
      <c r="B107" s="46">
        <v>45544</v>
      </c>
      <c r="C107" s="45" t="s">
        <v>165</v>
      </c>
      <c r="D107" s="45" t="s">
        <v>166</v>
      </c>
      <c r="E107" s="45" t="s">
        <v>68</v>
      </c>
      <c r="F107" s="45" t="s">
        <v>69</v>
      </c>
      <c r="G107" s="45" t="s">
        <v>70</v>
      </c>
      <c r="H107" s="45">
        <v>3</v>
      </c>
      <c r="I107" s="47">
        <v>59.99</v>
      </c>
      <c r="J107" s="45" t="s">
        <v>71</v>
      </c>
      <c r="K107" s="45" t="s">
        <v>100</v>
      </c>
      <c r="L107" s="45" t="s">
        <v>73</v>
      </c>
      <c r="M107" s="46">
        <v>44748</v>
      </c>
      <c r="N107" s="47">
        <v>179.97</v>
      </c>
      <c r="O107" s="48">
        <f>EOMONTH(B107,0)</f>
        <v>45565</v>
      </c>
      <c r="P107" s="49" t="str">
        <f>"Q"&amp;ROUNDUP(MONTH(B107)/3,0)&amp;"-"&amp;YEAR(B107)</f>
        <v>Q3-2024</v>
      </c>
      <c r="Q107" s="50">
        <f ca="1">TODAY()-B107</f>
        <v>780</v>
      </c>
      <c r="R107" s="50">
        <f>COUNTIF($C$2:C107,C107)</f>
        <v>3</v>
      </c>
      <c r="S107" s="50">
        <v>106</v>
      </c>
    </row>
    <row r="108" spans="1:19">
      <c r="A108" s="45" t="s">
        <v>274</v>
      </c>
      <c r="B108" s="46">
        <v>45544</v>
      </c>
      <c r="C108" s="45" t="s">
        <v>174</v>
      </c>
      <c r="D108" s="45" t="s">
        <v>175</v>
      </c>
      <c r="E108" s="45" t="s">
        <v>148</v>
      </c>
      <c r="F108" s="45" t="s">
        <v>149</v>
      </c>
      <c r="G108" s="45" t="s">
        <v>70</v>
      </c>
      <c r="H108" s="45">
        <v>4</v>
      </c>
      <c r="I108" s="47">
        <v>79.989999999999995</v>
      </c>
      <c r="J108" s="45" t="s">
        <v>57</v>
      </c>
      <c r="K108" s="45" t="s">
        <v>77</v>
      </c>
      <c r="L108" s="45" t="s">
        <v>59</v>
      </c>
      <c r="M108" s="46">
        <v>44530</v>
      </c>
      <c r="N108" s="47">
        <v>319.95999999999998</v>
      </c>
      <c r="O108" s="48">
        <f>EOMONTH(B108,0)</f>
        <v>45565</v>
      </c>
      <c r="P108" s="49" t="str">
        <f>"Q"&amp;ROUNDUP(MONTH(B108)/3,0)&amp;"-"&amp;YEAR(B108)</f>
        <v>Q3-2024</v>
      </c>
      <c r="Q108" s="50">
        <f ca="1">TODAY()-B108</f>
        <v>780</v>
      </c>
      <c r="R108" s="50">
        <f>COUNTIF($C$2:C108,C108)</f>
        <v>3</v>
      </c>
      <c r="S108" s="50">
        <v>107</v>
      </c>
    </row>
    <row r="109" spans="1:19">
      <c r="A109" s="45" t="s">
        <v>275</v>
      </c>
      <c r="B109" s="46">
        <v>45545</v>
      </c>
      <c r="C109" s="45" t="s">
        <v>92</v>
      </c>
      <c r="D109" s="45" t="s">
        <v>93</v>
      </c>
      <c r="E109" s="45" t="s">
        <v>148</v>
      </c>
      <c r="F109" s="45" t="s">
        <v>149</v>
      </c>
      <c r="G109" s="45" t="s">
        <v>70</v>
      </c>
      <c r="H109" s="45">
        <v>1</v>
      </c>
      <c r="I109" s="47">
        <v>79.989999999999995</v>
      </c>
      <c r="J109" s="45" t="s">
        <v>57</v>
      </c>
      <c r="K109" s="45" t="s">
        <v>87</v>
      </c>
      <c r="L109" s="45" t="s">
        <v>59</v>
      </c>
      <c r="M109" s="46">
        <v>44693</v>
      </c>
      <c r="N109" s="47">
        <v>79.989999999999995</v>
      </c>
      <c r="O109" s="48">
        <f>EOMONTH(B109,0)</f>
        <v>45565</v>
      </c>
      <c r="P109" s="49" t="str">
        <f>"Q"&amp;ROUNDUP(MONTH(B109)/3,0)&amp;"-"&amp;YEAR(B109)</f>
        <v>Q3-2024</v>
      </c>
      <c r="Q109" s="50">
        <f ca="1">TODAY()-B109</f>
        <v>779</v>
      </c>
      <c r="R109" s="50">
        <f>COUNTIF($C$2:C109,C109)</f>
        <v>5</v>
      </c>
      <c r="S109" s="50">
        <v>108</v>
      </c>
    </row>
    <row r="110" spans="1:19">
      <c r="A110" s="45" t="s">
        <v>276</v>
      </c>
      <c r="B110" s="46">
        <v>45547</v>
      </c>
      <c r="C110" s="45" t="s">
        <v>85</v>
      </c>
      <c r="D110" s="45" t="s">
        <v>86</v>
      </c>
      <c r="E110" s="45" t="s">
        <v>139</v>
      </c>
      <c r="F110" s="45" t="s">
        <v>140</v>
      </c>
      <c r="G110" s="45" t="s">
        <v>83</v>
      </c>
      <c r="H110" s="45">
        <v>3</v>
      </c>
      <c r="I110" s="47">
        <v>299.99</v>
      </c>
      <c r="J110" s="45" t="s">
        <v>63</v>
      </c>
      <c r="K110" s="45" t="s">
        <v>58</v>
      </c>
      <c r="L110" s="45" t="s">
        <v>64</v>
      </c>
      <c r="M110" s="46">
        <v>44494</v>
      </c>
      <c r="N110" s="47">
        <v>899.97</v>
      </c>
      <c r="O110" s="48">
        <f>EOMONTH(B110,0)</f>
        <v>45565</v>
      </c>
      <c r="P110" s="49" t="str">
        <f>"Q"&amp;ROUNDUP(MONTH(B110)/3,0)&amp;"-"&amp;YEAR(B110)</f>
        <v>Q3-2024</v>
      </c>
      <c r="Q110" s="50">
        <f ca="1">TODAY()-B110</f>
        <v>777</v>
      </c>
      <c r="R110" s="50">
        <f>COUNTIF($C$2:C110,C110)</f>
        <v>3</v>
      </c>
      <c r="S110" s="50">
        <v>109</v>
      </c>
    </row>
    <row r="111" spans="1:19">
      <c r="A111" s="45" t="s">
        <v>277</v>
      </c>
      <c r="B111" s="46">
        <v>45548</v>
      </c>
      <c r="C111" s="45" t="s">
        <v>75</v>
      </c>
      <c r="D111" s="45" t="s">
        <v>76</v>
      </c>
      <c r="E111" s="45" t="s">
        <v>151</v>
      </c>
      <c r="F111" s="45" t="s">
        <v>152</v>
      </c>
      <c r="G111" s="45" t="s">
        <v>56</v>
      </c>
      <c r="H111" s="45">
        <v>2</v>
      </c>
      <c r="I111" s="47">
        <v>89.99</v>
      </c>
      <c r="J111" s="45" t="s">
        <v>63</v>
      </c>
      <c r="K111" s="45" t="s">
        <v>72</v>
      </c>
      <c r="L111" s="45" t="s">
        <v>64</v>
      </c>
      <c r="M111" s="46">
        <v>44641</v>
      </c>
      <c r="N111" s="47">
        <v>179.98</v>
      </c>
      <c r="O111" s="48">
        <f>EOMONTH(B111,0)</f>
        <v>45565</v>
      </c>
      <c r="P111" s="49" t="str">
        <f>"Q"&amp;ROUNDUP(MONTH(B111)/3,0)&amp;"-"&amp;YEAR(B111)</f>
        <v>Q3-2024</v>
      </c>
      <c r="Q111" s="50">
        <f ca="1">TODAY()-B111</f>
        <v>776</v>
      </c>
      <c r="R111" s="50">
        <f>COUNTIF($C$2:C111,C111)</f>
        <v>5</v>
      </c>
      <c r="S111" s="50">
        <v>110</v>
      </c>
    </row>
    <row r="112" spans="1:19">
      <c r="A112" s="45" t="s">
        <v>278</v>
      </c>
      <c r="B112" s="46">
        <v>45550</v>
      </c>
      <c r="C112" s="45" t="s">
        <v>279</v>
      </c>
      <c r="D112" s="45" t="s">
        <v>280</v>
      </c>
      <c r="E112" s="45" t="s">
        <v>89</v>
      </c>
      <c r="F112" s="45" t="s">
        <v>90</v>
      </c>
      <c r="G112" s="45" t="s">
        <v>56</v>
      </c>
      <c r="H112" s="45">
        <v>4</v>
      </c>
      <c r="I112" s="47">
        <v>149.99</v>
      </c>
      <c r="J112" s="45" t="s">
        <v>57</v>
      </c>
      <c r="K112" s="45" t="s">
        <v>77</v>
      </c>
      <c r="L112" s="45" t="s">
        <v>59</v>
      </c>
      <c r="M112" s="46">
        <v>44909</v>
      </c>
      <c r="N112" s="47">
        <v>599.96</v>
      </c>
      <c r="O112" s="48">
        <f>EOMONTH(B112,0)</f>
        <v>45565</v>
      </c>
      <c r="P112" s="49" t="str">
        <f>"Q"&amp;ROUNDUP(MONTH(B112)/3,0)&amp;"-"&amp;YEAR(B112)</f>
        <v>Q3-2024</v>
      </c>
      <c r="Q112" s="50">
        <f ca="1">TODAY()-B112</f>
        <v>774</v>
      </c>
      <c r="R112" s="50">
        <f>COUNTIF($C$2:C112,C112)</f>
        <v>1</v>
      </c>
      <c r="S112" s="50">
        <v>111</v>
      </c>
    </row>
    <row r="113" spans="1:19">
      <c r="A113" s="45" t="s">
        <v>281</v>
      </c>
      <c r="B113" s="46">
        <v>45551</v>
      </c>
      <c r="C113" s="45" t="s">
        <v>102</v>
      </c>
      <c r="D113" s="45" t="s">
        <v>103</v>
      </c>
      <c r="E113" s="45" t="s">
        <v>54</v>
      </c>
      <c r="F113" s="45" t="s">
        <v>55</v>
      </c>
      <c r="G113" s="45" t="s">
        <v>56</v>
      </c>
      <c r="H113" s="45">
        <v>2</v>
      </c>
      <c r="I113" s="47">
        <v>249.99</v>
      </c>
      <c r="J113" s="45" t="s">
        <v>71</v>
      </c>
      <c r="K113" s="45" t="s">
        <v>72</v>
      </c>
      <c r="L113" s="45" t="s">
        <v>59</v>
      </c>
      <c r="M113" s="46">
        <v>44993</v>
      </c>
      <c r="N113" s="47">
        <v>499.98</v>
      </c>
      <c r="O113" s="48">
        <f>EOMONTH(B113,0)</f>
        <v>45565</v>
      </c>
      <c r="P113" s="49" t="str">
        <f>"Q"&amp;ROUNDUP(MONTH(B113)/3,0)&amp;"-"&amp;YEAR(B113)</f>
        <v>Q3-2024</v>
      </c>
      <c r="Q113" s="50">
        <f ca="1">TODAY()-B113</f>
        <v>773</v>
      </c>
      <c r="R113" s="50">
        <f>COUNTIF($C$2:C113,C113)</f>
        <v>4</v>
      </c>
      <c r="S113" s="50">
        <v>112</v>
      </c>
    </row>
    <row r="114" spans="1:19">
      <c r="A114" s="45" t="s">
        <v>282</v>
      </c>
      <c r="B114" s="46">
        <v>45551</v>
      </c>
      <c r="C114" s="45" t="s">
        <v>187</v>
      </c>
      <c r="D114" s="45" t="s">
        <v>188</v>
      </c>
      <c r="E114" s="45" t="s">
        <v>159</v>
      </c>
      <c r="F114" s="45" t="s">
        <v>160</v>
      </c>
      <c r="G114" s="45" t="s">
        <v>83</v>
      </c>
      <c r="H114" s="45">
        <v>4</v>
      </c>
      <c r="I114" s="47">
        <v>199.99</v>
      </c>
      <c r="J114" s="45" t="s">
        <v>94</v>
      </c>
      <c r="K114" s="45" t="s">
        <v>100</v>
      </c>
      <c r="L114" s="45" t="s">
        <v>59</v>
      </c>
      <c r="M114" s="46">
        <v>44458</v>
      </c>
      <c r="N114" s="47">
        <v>799.96</v>
      </c>
      <c r="O114" s="48">
        <f>EOMONTH(B114,0)</f>
        <v>45565</v>
      </c>
      <c r="P114" s="49" t="str">
        <f>"Q"&amp;ROUNDUP(MONTH(B114)/3,0)&amp;"-"&amp;YEAR(B114)</f>
        <v>Q3-2024</v>
      </c>
      <c r="Q114" s="50">
        <f ca="1">TODAY()-B114</f>
        <v>773</v>
      </c>
      <c r="R114" s="50">
        <f>COUNTIF($C$2:C114,C114)</f>
        <v>2</v>
      </c>
      <c r="S114" s="50">
        <v>113</v>
      </c>
    </row>
    <row r="115" spans="1:19">
      <c r="A115" s="45" t="s">
        <v>283</v>
      </c>
      <c r="B115" s="46">
        <v>45554</v>
      </c>
      <c r="C115" s="45" t="s">
        <v>180</v>
      </c>
      <c r="D115" s="45" t="s">
        <v>181</v>
      </c>
      <c r="E115" s="45" t="s">
        <v>151</v>
      </c>
      <c r="F115" s="45" t="s">
        <v>152</v>
      </c>
      <c r="G115" s="45" t="s">
        <v>56</v>
      </c>
      <c r="H115" s="45">
        <v>5</v>
      </c>
      <c r="I115" s="47">
        <v>89.99</v>
      </c>
      <c r="J115" s="45" t="s">
        <v>63</v>
      </c>
      <c r="K115" s="45" t="s">
        <v>100</v>
      </c>
      <c r="L115" s="45" t="s">
        <v>64</v>
      </c>
      <c r="M115" s="46">
        <v>44446</v>
      </c>
      <c r="N115" s="47">
        <v>449.95</v>
      </c>
      <c r="O115" s="48">
        <f>EOMONTH(B115,0)</f>
        <v>45565</v>
      </c>
      <c r="P115" s="49" t="str">
        <f>"Q"&amp;ROUNDUP(MONTH(B115)/3,0)&amp;"-"&amp;YEAR(B115)</f>
        <v>Q3-2024</v>
      </c>
      <c r="Q115" s="50">
        <f ca="1">TODAY()-B115</f>
        <v>770</v>
      </c>
      <c r="R115" s="50">
        <f>COUNTIF($C$2:C115,C115)</f>
        <v>4</v>
      </c>
      <c r="S115" s="50">
        <v>114</v>
      </c>
    </row>
    <row r="116" spans="1:19">
      <c r="A116" s="45" t="s">
        <v>284</v>
      </c>
      <c r="B116" s="46">
        <v>45554</v>
      </c>
      <c r="C116" s="45" t="s">
        <v>285</v>
      </c>
      <c r="D116" s="45" t="s">
        <v>286</v>
      </c>
      <c r="E116" s="45" t="s">
        <v>89</v>
      </c>
      <c r="F116" s="45" t="s">
        <v>90</v>
      </c>
      <c r="G116" s="45" t="s">
        <v>56</v>
      </c>
      <c r="H116" s="45">
        <v>1</v>
      </c>
      <c r="I116" s="47">
        <v>149.99</v>
      </c>
      <c r="J116" s="45" t="s">
        <v>71</v>
      </c>
      <c r="K116" s="45" t="s">
        <v>100</v>
      </c>
      <c r="L116" s="45" t="s">
        <v>73</v>
      </c>
      <c r="M116" s="46">
        <v>44482</v>
      </c>
      <c r="N116" s="47">
        <v>149.99</v>
      </c>
      <c r="O116" s="48">
        <f>EOMONTH(B116,0)</f>
        <v>45565</v>
      </c>
      <c r="P116" s="49" t="str">
        <f>"Q"&amp;ROUNDUP(MONTH(B116)/3,0)&amp;"-"&amp;YEAR(B116)</f>
        <v>Q3-2024</v>
      </c>
      <c r="Q116" s="50">
        <f ca="1">TODAY()-B116</f>
        <v>770</v>
      </c>
      <c r="R116" s="50">
        <f>COUNTIF($C$2:C116,C116)</f>
        <v>1</v>
      </c>
      <c r="S116" s="50">
        <v>115</v>
      </c>
    </row>
    <row r="117" spans="1:19">
      <c r="A117" s="45" t="s">
        <v>287</v>
      </c>
      <c r="B117" s="46">
        <v>45554</v>
      </c>
      <c r="C117" s="45" t="s">
        <v>109</v>
      </c>
      <c r="D117" s="45" t="s">
        <v>110</v>
      </c>
      <c r="E117" s="45" t="s">
        <v>117</v>
      </c>
      <c r="F117" s="45" t="s">
        <v>118</v>
      </c>
      <c r="G117" s="45" t="s">
        <v>56</v>
      </c>
      <c r="H117" s="45">
        <v>4</v>
      </c>
      <c r="I117" s="47">
        <v>699.99</v>
      </c>
      <c r="J117" s="45" t="s">
        <v>71</v>
      </c>
      <c r="K117" s="45" t="s">
        <v>72</v>
      </c>
      <c r="L117" s="45" t="s">
        <v>59</v>
      </c>
      <c r="M117" s="46">
        <v>44618</v>
      </c>
      <c r="N117" s="47">
        <v>2799.96</v>
      </c>
      <c r="O117" s="48">
        <f>EOMONTH(B117,0)</f>
        <v>45565</v>
      </c>
      <c r="P117" s="49" t="str">
        <f>"Q"&amp;ROUNDUP(MONTH(B117)/3,0)&amp;"-"&amp;YEAR(B117)</f>
        <v>Q3-2024</v>
      </c>
      <c r="Q117" s="50">
        <f ca="1">TODAY()-B117</f>
        <v>770</v>
      </c>
      <c r="R117" s="50">
        <f>COUNTIF($C$2:C117,C117)</f>
        <v>3</v>
      </c>
      <c r="S117" s="50">
        <v>116</v>
      </c>
    </row>
    <row r="118" spans="1:19">
      <c r="A118" s="45" t="s">
        <v>288</v>
      </c>
      <c r="B118" s="46">
        <v>45559</v>
      </c>
      <c r="C118" s="45" t="s">
        <v>267</v>
      </c>
      <c r="D118" s="45" t="s">
        <v>268</v>
      </c>
      <c r="E118" s="45" t="s">
        <v>98</v>
      </c>
      <c r="F118" s="45" t="s">
        <v>99</v>
      </c>
      <c r="G118" s="45" t="s">
        <v>56</v>
      </c>
      <c r="H118" s="45">
        <v>3</v>
      </c>
      <c r="I118" s="47">
        <v>899.99</v>
      </c>
      <c r="J118" s="45" t="s">
        <v>63</v>
      </c>
      <c r="K118" s="45" t="s">
        <v>77</v>
      </c>
      <c r="L118" s="45" t="s">
        <v>73</v>
      </c>
      <c r="M118" s="46">
        <v>45157</v>
      </c>
      <c r="N118" s="47">
        <v>2699.97</v>
      </c>
      <c r="O118" s="48">
        <f>EOMONTH(B118,0)</f>
        <v>45565</v>
      </c>
      <c r="P118" s="49" t="str">
        <f>"Q"&amp;ROUNDUP(MONTH(B118)/3,0)&amp;"-"&amp;YEAR(B118)</f>
        <v>Q3-2024</v>
      </c>
      <c r="Q118" s="50">
        <f ca="1">TODAY()-B118</f>
        <v>765</v>
      </c>
      <c r="R118" s="50">
        <f>COUNTIF($C$2:C118,C118)</f>
        <v>2</v>
      </c>
      <c r="S118" s="50">
        <v>117</v>
      </c>
    </row>
    <row r="119" spans="1:19">
      <c r="A119" s="45" t="s">
        <v>289</v>
      </c>
      <c r="B119" s="46">
        <v>45560</v>
      </c>
      <c r="C119" s="45" t="s">
        <v>146</v>
      </c>
      <c r="D119" s="45" t="s">
        <v>147</v>
      </c>
      <c r="E119" s="45" t="s">
        <v>81</v>
      </c>
      <c r="F119" s="45" t="s">
        <v>82</v>
      </c>
      <c r="G119" s="45" t="s">
        <v>83</v>
      </c>
      <c r="H119" s="45">
        <v>3</v>
      </c>
      <c r="I119" s="47">
        <v>149.99</v>
      </c>
      <c r="J119" s="45" t="s">
        <v>71</v>
      </c>
      <c r="K119" s="45" t="s">
        <v>100</v>
      </c>
      <c r="L119" s="45" t="s">
        <v>59</v>
      </c>
      <c r="M119" s="46">
        <v>44886</v>
      </c>
      <c r="N119" s="47">
        <v>449.97</v>
      </c>
      <c r="O119" s="48">
        <f>EOMONTH(B119,0)</f>
        <v>45565</v>
      </c>
      <c r="P119" s="49" t="str">
        <f>"Q"&amp;ROUNDUP(MONTH(B119)/3,0)&amp;"-"&amp;YEAR(B119)</f>
        <v>Q3-2024</v>
      </c>
      <c r="Q119" s="50">
        <f ca="1">TODAY()-B119</f>
        <v>764</v>
      </c>
      <c r="R119" s="50">
        <f>COUNTIF($C$2:C119,C119)</f>
        <v>2</v>
      </c>
      <c r="S119" s="50">
        <v>118</v>
      </c>
    </row>
    <row r="120" spans="1:19">
      <c r="A120" s="45" t="s">
        <v>290</v>
      </c>
      <c r="B120" s="46">
        <v>45563</v>
      </c>
      <c r="C120" s="45" t="s">
        <v>134</v>
      </c>
      <c r="D120" s="45" t="s">
        <v>30</v>
      </c>
      <c r="E120" s="45" t="s">
        <v>139</v>
      </c>
      <c r="F120" s="45" t="s">
        <v>140</v>
      </c>
      <c r="G120" s="45" t="s">
        <v>83</v>
      </c>
      <c r="H120" s="45">
        <v>2</v>
      </c>
      <c r="I120" s="47">
        <v>299.99</v>
      </c>
      <c r="J120" s="45" t="s">
        <v>94</v>
      </c>
      <c r="K120" s="45" t="s">
        <v>58</v>
      </c>
      <c r="L120" s="45" t="s">
        <v>59</v>
      </c>
      <c r="M120" s="46">
        <v>44569</v>
      </c>
      <c r="N120" s="47">
        <v>599.98</v>
      </c>
      <c r="O120" s="48">
        <f>EOMONTH(B120,0)</f>
        <v>45565</v>
      </c>
      <c r="P120" s="49" t="str">
        <f>"Q"&amp;ROUNDUP(MONTH(B120)/3,0)&amp;"-"&amp;YEAR(B120)</f>
        <v>Q3-2024</v>
      </c>
      <c r="Q120" s="50">
        <f ca="1">TODAY()-B120</f>
        <v>761</v>
      </c>
      <c r="R120" s="50">
        <f>COUNTIF($C$2:C120,C120)</f>
        <v>6</v>
      </c>
      <c r="S120" s="50">
        <v>119</v>
      </c>
    </row>
    <row r="121" spans="1:19">
      <c r="A121" s="45" t="s">
        <v>291</v>
      </c>
      <c r="B121" s="46">
        <v>45564</v>
      </c>
      <c r="C121" s="45" t="s">
        <v>292</v>
      </c>
      <c r="D121" s="45" t="s">
        <v>293</v>
      </c>
      <c r="E121" s="45" t="s">
        <v>159</v>
      </c>
      <c r="F121" s="45" t="s">
        <v>160</v>
      </c>
      <c r="G121" s="45" t="s">
        <v>83</v>
      </c>
      <c r="H121" s="45">
        <v>1</v>
      </c>
      <c r="I121" s="47">
        <v>199.99</v>
      </c>
      <c r="J121" s="45" t="s">
        <v>94</v>
      </c>
      <c r="K121" s="45" t="s">
        <v>100</v>
      </c>
      <c r="L121" s="45" t="s">
        <v>73</v>
      </c>
      <c r="M121" s="46">
        <v>44953</v>
      </c>
      <c r="N121" s="47">
        <v>199.99</v>
      </c>
      <c r="O121" s="48">
        <f>EOMONTH(B121,0)</f>
        <v>45565</v>
      </c>
      <c r="P121" s="49" t="str">
        <f>"Q"&amp;ROUNDUP(MONTH(B121)/3,0)&amp;"-"&amp;YEAR(B121)</f>
        <v>Q3-2024</v>
      </c>
      <c r="Q121" s="50">
        <f ca="1">TODAY()-B121</f>
        <v>760</v>
      </c>
      <c r="R121" s="50">
        <f>COUNTIF($C$2:C121,C121)</f>
        <v>1</v>
      </c>
      <c r="S121" s="50">
        <v>120</v>
      </c>
    </row>
    <row r="122" spans="1:19">
      <c r="A122" s="45" t="s">
        <v>294</v>
      </c>
      <c r="B122" s="46">
        <v>45566</v>
      </c>
      <c r="C122" s="45" t="s">
        <v>79</v>
      </c>
      <c r="D122" s="45" t="s">
        <v>80</v>
      </c>
      <c r="E122" s="45" t="s">
        <v>139</v>
      </c>
      <c r="F122" s="45" t="s">
        <v>140</v>
      </c>
      <c r="G122" s="45" t="s">
        <v>83</v>
      </c>
      <c r="H122" s="45">
        <v>4</v>
      </c>
      <c r="I122" s="47">
        <v>299.99</v>
      </c>
      <c r="J122" s="45" t="s">
        <v>57</v>
      </c>
      <c r="K122" s="45" t="s">
        <v>58</v>
      </c>
      <c r="L122" s="45" t="s">
        <v>64</v>
      </c>
      <c r="M122" s="46">
        <v>44460</v>
      </c>
      <c r="N122" s="47">
        <v>1199.96</v>
      </c>
      <c r="O122" s="48">
        <f>EOMONTH(B122,0)</f>
        <v>45596</v>
      </c>
      <c r="P122" s="49" t="str">
        <f>"Q"&amp;ROUNDUP(MONTH(B122)/3,0)&amp;"-"&amp;YEAR(B122)</f>
        <v>Q4-2024</v>
      </c>
      <c r="Q122" s="50">
        <f ca="1">TODAY()-B122</f>
        <v>758</v>
      </c>
      <c r="R122" s="50">
        <f>COUNTIF($C$2:C122,C122)</f>
        <v>4</v>
      </c>
      <c r="S122" s="50">
        <v>121</v>
      </c>
    </row>
    <row r="123" spans="1:19">
      <c r="A123" s="45" t="s">
        <v>295</v>
      </c>
      <c r="B123" s="46">
        <v>45572</v>
      </c>
      <c r="C123" s="45" t="s">
        <v>125</v>
      </c>
      <c r="D123" s="45" t="s">
        <v>126</v>
      </c>
      <c r="E123" s="45" t="s">
        <v>68</v>
      </c>
      <c r="F123" s="45" t="s">
        <v>69</v>
      </c>
      <c r="G123" s="45" t="s">
        <v>70</v>
      </c>
      <c r="H123" s="45">
        <v>2</v>
      </c>
      <c r="I123" s="47">
        <v>59.99</v>
      </c>
      <c r="J123" s="45" t="s">
        <v>63</v>
      </c>
      <c r="K123" s="45" t="s">
        <v>58</v>
      </c>
      <c r="L123" s="45" t="s">
        <v>59</v>
      </c>
      <c r="M123" s="46">
        <v>44579</v>
      </c>
      <c r="N123" s="47">
        <v>119.98</v>
      </c>
      <c r="O123" s="48">
        <f>EOMONTH(B123,0)</f>
        <v>45596</v>
      </c>
      <c r="P123" s="49" t="str">
        <f>"Q"&amp;ROUNDUP(MONTH(B123)/3,0)&amp;"-"&amp;YEAR(B123)</f>
        <v>Q4-2024</v>
      </c>
      <c r="Q123" s="50">
        <f ca="1">TODAY()-B123</f>
        <v>752</v>
      </c>
      <c r="R123" s="50">
        <f>COUNTIF($C$2:C123,C123)</f>
        <v>3</v>
      </c>
      <c r="S123" s="50">
        <v>122</v>
      </c>
    </row>
    <row r="124" spans="1:19">
      <c r="A124" s="45" t="s">
        <v>296</v>
      </c>
      <c r="B124" s="46">
        <v>45572</v>
      </c>
      <c r="C124" s="45" t="s">
        <v>267</v>
      </c>
      <c r="D124" s="45" t="s">
        <v>268</v>
      </c>
      <c r="E124" s="45" t="s">
        <v>89</v>
      </c>
      <c r="F124" s="45" t="s">
        <v>90</v>
      </c>
      <c r="G124" s="45" t="s">
        <v>56</v>
      </c>
      <c r="H124" s="45">
        <v>4</v>
      </c>
      <c r="I124" s="47">
        <v>149.99</v>
      </c>
      <c r="J124" s="45" t="s">
        <v>63</v>
      </c>
      <c r="K124" s="45" t="s">
        <v>77</v>
      </c>
      <c r="L124" s="45" t="s">
        <v>64</v>
      </c>
      <c r="M124" s="46">
        <v>45076</v>
      </c>
      <c r="N124" s="47">
        <v>599.96</v>
      </c>
      <c r="O124" s="48">
        <f>EOMONTH(B124,0)</f>
        <v>45596</v>
      </c>
      <c r="P124" s="49" t="str">
        <f>"Q"&amp;ROUNDUP(MONTH(B124)/3,0)&amp;"-"&amp;YEAR(B124)</f>
        <v>Q4-2024</v>
      </c>
      <c r="Q124" s="50">
        <f ca="1">TODAY()-B124</f>
        <v>752</v>
      </c>
      <c r="R124" s="50">
        <f>COUNTIF($C$2:C124,C124)</f>
        <v>3</v>
      </c>
      <c r="S124" s="50">
        <v>123</v>
      </c>
    </row>
    <row r="125" spans="1:19">
      <c r="A125" s="45" t="s">
        <v>297</v>
      </c>
      <c r="B125" s="46">
        <v>45573</v>
      </c>
      <c r="C125" s="45" t="s">
        <v>244</v>
      </c>
      <c r="D125" s="45" t="s">
        <v>245</v>
      </c>
      <c r="E125" s="45" t="s">
        <v>117</v>
      </c>
      <c r="F125" s="45" t="s">
        <v>118</v>
      </c>
      <c r="G125" s="45" t="s">
        <v>56</v>
      </c>
      <c r="H125" s="45">
        <v>2</v>
      </c>
      <c r="I125" s="47">
        <v>699.99</v>
      </c>
      <c r="J125" s="45" t="s">
        <v>94</v>
      </c>
      <c r="K125" s="45" t="s">
        <v>100</v>
      </c>
      <c r="L125" s="45" t="s">
        <v>64</v>
      </c>
      <c r="M125" s="46">
        <v>45274</v>
      </c>
      <c r="N125" s="47">
        <v>1399.98</v>
      </c>
      <c r="O125" s="48">
        <f>EOMONTH(B125,0)</f>
        <v>45596</v>
      </c>
      <c r="P125" s="49" t="str">
        <f>"Q"&amp;ROUNDUP(MONTH(B125)/3,0)&amp;"-"&amp;YEAR(B125)</f>
        <v>Q4-2024</v>
      </c>
      <c r="Q125" s="50">
        <f ca="1">TODAY()-B125</f>
        <v>751</v>
      </c>
      <c r="R125" s="50">
        <f>COUNTIF($C$2:C125,C125)</f>
        <v>2</v>
      </c>
      <c r="S125" s="50">
        <v>124</v>
      </c>
    </row>
    <row r="126" spans="1:19">
      <c r="A126" s="45" t="s">
        <v>298</v>
      </c>
      <c r="B126" s="46">
        <v>45573</v>
      </c>
      <c r="C126" s="45" t="s">
        <v>264</v>
      </c>
      <c r="D126" s="45" t="s">
        <v>265</v>
      </c>
      <c r="E126" s="45" t="s">
        <v>81</v>
      </c>
      <c r="F126" s="45" t="s">
        <v>82</v>
      </c>
      <c r="G126" s="45" t="s">
        <v>83</v>
      </c>
      <c r="H126" s="45">
        <v>3</v>
      </c>
      <c r="I126" s="47">
        <v>149.99</v>
      </c>
      <c r="J126" s="45" t="s">
        <v>63</v>
      </c>
      <c r="K126" s="45" t="s">
        <v>72</v>
      </c>
      <c r="L126" s="45" t="s">
        <v>73</v>
      </c>
      <c r="M126" s="46">
        <v>44940</v>
      </c>
      <c r="N126" s="47">
        <v>449.97</v>
      </c>
      <c r="O126" s="48">
        <f>EOMONTH(B126,0)</f>
        <v>45596</v>
      </c>
      <c r="P126" s="49" t="str">
        <f>"Q"&amp;ROUNDUP(MONTH(B126)/3,0)&amp;"-"&amp;YEAR(B126)</f>
        <v>Q4-2024</v>
      </c>
      <c r="Q126" s="50">
        <f ca="1">TODAY()-B126</f>
        <v>751</v>
      </c>
      <c r="R126" s="50">
        <f>COUNTIF($C$2:C126,C126)</f>
        <v>3</v>
      </c>
      <c r="S126" s="50">
        <v>125</v>
      </c>
    </row>
    <row r="127" spans="1:19">
      <c r="A127" s="45" t="s">
        <v>299</v>
      </c>
      <c r="B127" s="46">
        <v>45576</v>
      </c>
      <c r="C127" s="45" t="s">
        <v>180</v>
      </c>
      <c r="D127" s="45" t="s">
        <v>181</v>
      </c>
      <c r="E127" s="45" t="s">
        <v>139</v>
      </c>
      <c r="F127" s="45" t="s">
        <v>140</v>
      </c>
      <c r="G127" s="45" t="s">
        <v>83</v>
      </c>
      <c r="H127" s="45">
        <v>3</v>
      </c>
      <c r="I127" s="47">
        <v>299.99</v>
      </c>
      <c r="J127" s="45" t="s">
        <v>63</v>
      </c>
      <c r="K127" s="45" t="s">
        <v>58</v>
      </c>
      <c r="L127" s="45" t="s">
        <v>73</v>
      </c>
      <c r="M127" s="46">
        <v>45174</v>
      </c>
      <c r="N127" s="47">
        <v>899.97</v>
      </c>
      <c r="O127" s="48">
        <f>EOMONTH(B127,0)</f>
        <v>45596</v>
      </c>
      <c r="P127" s="49" t="str">
        <f>"Q"&amp;ROUNDUP(MONTH(B127)/3,0)&amp;"-"&amp;YEAR(B127)</f>
        <v>Q4-2024</v>
      </c>
      <c r="Q127" s="50">
        <f ca="1">TODAY()-B127</f>
        <v>748</v>
      </c>
      <c r="R127" s="50">
        <f>COUNTIF($C$2:C127,C127)</f>
        <v>5</v>
      </c>
      <c r="S127" s="50">
        <v>126</v>
      </c>
    </row>
    <row r="128" spans="1:19">
      <c r="A128" s="45" t="s">
        <v>300</v>
      </c>
      <c r="B128" s="46">
        <v>45579</v>
      </c>
      <c r="C128" s="45" t="s">
        <v>120</v>
      </c>
      <c r="D128" s="45" t="s">
        <v>121</v>
      </c>
      <c r="E128" s="45" t="s">
        <v>98</v>
      </c>
      <c r="F128" s="45" t="s">
        <v>99</v>
      </c>
      <c r="G128" s="45" t="s">
        <v>56</v>
      </c>
      <c r="H128" s="45">
        <v>3</v>
      </c>
      <c r="I128" s="47">
        <v>899.99</v>
      </c>
      <c r="J128" s="45" t="s">
        <v>71</v>
      </c>
      <c r="K128" s="45" t="s">
        <v>87</v>
      </c>
      <c r="L128" s="45" t="s">
        <v>59</v>
      </c>
      <c r="M128" s="46">
        <v>45215</v>
      </c>
      <c r="N128" s="47">
        <v>2699.97</v>
      </c>
      <c r="O128" s="48">
        <f>EOMONTH(B128,0)</f>
        <v>45596</v>
      </c>
      <c r="P128" s="49" t="str">
        <f>"Q"&amp;ROUNDUP(MONTH(B128)/3,0)&amp;"-"&amp;YEAR(B128)</f>
        <v>Q4-2024</v>
      </c>
      <c r="Q128" s="50">
        <f ca="1">TODAY()-B128</f>
        <v>745</v>
      </c>
      <c r="R128" s="50">
        <f>COUNTIF($C$2:C128,C128)</f>
        <v>2</v>
      </c>
      <c r="S128" s="50">
        <v>127</v>
      </c>
    </row>
    <row r="129" spans="1:19">
      <c r="A129" s="45" t="s">
        <v>301</v>
      </c>
      <c r="B129" s="46">
        <v>45581</v>
      </c>
      <c r="C129" s="45" t="s">
        <v>132</v>
      </c>
      <c r="D129" s="45" t="s">
        <v>28</v>
      </c>
      <c r="E129" s="45" t="s">
        <v>117</v>
      </c>
      <c r="F129" s="45" t="s">
        <v>118</v>
      </c>
      <c r="G129" s="45" t="s">
        <v>56</v>
      </c>
      <c r="H129" s="45">
        <v>5</v>
      </c>
      <c r="I129" s="47">
        <v>699.99</v>
      </c>
      <c r="J129" s="45" t="s">
        <v>57</v>
      </c>
      <c r="K129" s="45" t="s">
        <v>100</v>
      </c>
      <c r="L129" s="45" t="s">
        <v>73</v>
      </c>
      <c r="M129" s="46">
        <v>45008</v>
      </c>
      <c r="N129" s="47">
        <v>3499.95</v>
      </c>
      <c r="O129" s="48">
        <f>EOMONTH(B129,0)</f>
        <v>45596</v>
      </c>
      <c r="P129" s="49" t="str">
        <f>"Q"&amp;ROUNDUP(MONTH(B129)/3,0)&amp;"-"&amp;YEAR(B129)</f>
        <v>Q4-2024</v>
      </c>
      <c r="Q129" s="50">
        <f ca="1">TODAY()-B129</f>
        <v>743</v>
      </c>
      <c r="R129" s="50">
        <f>COUNTIF($C$2:C129,C129)</f>
        <v>4</v>
      </c>
      <c r="S129" s="50">
        <v>128</v>
      </c>
    </row>
    <row r="130" spans="1:19">
      <c r="A130" s="45" t="s">
        <v>302</v>
      </c>
      <c r="B130" s="46">
        <v>45581</v>
      </c>
      <c r="C130" s="45" t="s">
        <v>204</v>
      </c>
      <c r="D130" s="45" t="s">
        <v>205</v>
      </c>
      <c r="E130" s="45" t="s">
        <v>117</v>
      </c>
      <c r="F130" s="45" t="s">
        <v>118</v>
      </c>
      <c r="G130" s="45" t="s">
        <v>56</v>
      </c>
      <c r="H130" s="45">
        <v>4</v>
      </c>
      <c r="I130" s="47">
        <v>699.99</v>
      </c>
      <c r="J130" s="45" t="s">
        <v>63</v>
      </c>
      <c r="K130" s="45" t="s">
        <v>58</v>
      </c>
      <c r="L130" s="45" t="s">
        <v>59</v>
      </c>
      <c r="M130" s="46">
        <v>45385</v>
      </c>
      <c r="N130" s="47">
        <v>2799.96</v>
      </c>
      <c r="O130" s="48">
        <f>EOMONTH(B130,0)</f>
        <v>45596</v>
      </c>
      <c r="P130" s="49" t="str">
        <f>"Q"&amp;ROUNDUP(MONTH(B130)/3,0)&amp;"-"&amp;YEAR(B130)</f>
        <v>Q4-2024</v>
      </c>
      <c r="Q130" s="50">
        <f ca="1">TODAY()-B130</f>
        <v>743</v>
      </c>
      <c r="R130" s="50">
        <f>COUNTIF($C$2:C130,C130)</f>
        <v>3</v>
      </c>
      <c r="S130" s="50">
        <v>129</v>
      </c>
    </row>
    <row r="131" spans="1:19">
      <c r="A131" s="45" t="s">
        <v>303</v>
      </c>
      <c r="B131" s="46">
        <v>45581</v>
      </c>
      <c r="C131" s="45" t="s">
        <v>183</v>
      </c>
      <c r="D131" s="45" t="s">
        <v>184</v>
      </c>
      <c r="E131" s="45" t="s">
        <v>98</v>
      </c>
      <c r="F131" s="45" t="s">
        <v>99</v>
      </c>
      <c r="G131" s="45" t="s">
        <v>56</v>
      </c>
      <c r="H131" s="45">
        <v>1</v>
      </c>
      <c r="I131" s="47">
        <v>899.99</v>
      </c>
      <c r="J131" s="45" t="s">
        <v>63</v>
      </c>
      <c r="K131" s="45" t="s">
        <v>100</v>
      </c>
      <c r="L131" s="45" t="s">
        <v>73</v>
      </c>
      <c r="M131" s="46">
        <v>45369</v>
      </c>
      <c r="N131" s="47">
        <v>899.99</v>
      </c>
      <c r="O131" s="48">
        <f>EOMONTH(B131,0)</f>
        <v>45596</v>
      </c>
      <c r="P131" s="49" t="str">
        <f>"Q"&amp;ROUNDUP(MONTH(B131)/3,0)&amp;"-"&amp;YEAR(B131)</f>
        <v>Q4-2024</v>
      </c>
      <c r="Q131" s="50">
        <f ca="1">TODAY()-B131</f>
        <v>743</v>
      </c>
      <c r="R131" s="50">
        <f>COUNTIF($C$2:C131,C131)</f>
        <v>3</v>
      </c>
      <c r="S131" s="50">
        <v>130</v>
      </c>
    </row>
    <row r="132" spans="1:19">
      <c r="A132" s="45" t="s">
        <v>304</v>
      </c>
      <c r="B132" s="46">
        <v>45583</v>
      </c>
      <c r="C132" s="45" t="s">
        <v>259</v>
      </c>
      <c r="D132" s="45" t="s">
        <v>260</v>
      </c>
      <c r="E132" s="45" t="s">
        <v>89</v>
      </c>
      <c r="F132" s="45" t="s">
        <v>90</v>
      </c>
      <c r="G132" s="45" t="s">
        <v>56</v>
      </c>
      <c r="H132" s="45">
        <v>2</v>
      </c>
      <c r="I132" s="47">
        <v>149.99</v>
      </c>
      <c r="J132" s="45" t="s">
        <v>63</v>
      </c>
      <c r="K132" s="45" t="s">
        <v>87</v>
      </c>
      <c r="L132" s="45" t="s">
        <v>59</v>
      </c>
      <c r="M132" s="46">
        <v>44916</v>
      </c>
      <c r="N132" s="47">
        <v>299.98</v>
      </c>
      <c r="O132" s="48">
        <f>EOMONTH(B132,0)</f>
        <v>45596</v>
      </c>
      <c r="P132" s="49" t="str">
        <f>"Q"&amp;ROUNDUP(MONTH(B132)/3,0)&amp;"-"&amp;YEAR(B132)</f>
        <v>Q4-2024</v>
      </c>
      <c r="Q132" s="50">
        <f ca="1">TODAY()-B132</f>
        <v>741</v>
      </c>
      <c r="R132" s="50">
        <f>COUNTIF($C$2:C132,C132)</f>
        <v>3</v>
      </c>
      <c r="S132" s="50">
        <v>131</v>
      </c>
    </row>
    <row r="133" spans="1:19">
      <c r="A133" s="45" t="s">
        <v>305</v>
      </c>
      <c r="B133" s="46">
        <v>45586</v>
      </c>
      <c r="C133" s="45" t="s">
        <v>259</v>
      </c>
      <c r="D133" s="45" t="s">
        <v>260</v>
      </c>
      <c r="E133" s="45" t="s">
        <v>151</v>
      </c>
      <c r="F133" s="45" t="s">
        <v>152</v>
      </c>
      <c r="G133" s="45" t="s">
        <v>56</v>
      </c>
      <c r="H133" s="45">
        <v>3</v>
      </c>
      <c r="I133" s="47">
        <v>89.99</v>
      </c>
      <c r="J133" s="45" t="s">
        <v>71</v>
      </c>
      <c r="K133" s="45" t="s">
        <v>58</v>
      </c>
      <c r="L133" s="45" t="s">
        <v>59</v>
      </c>
      <c r="M133" s="46">
        <v>44551</v>
      </c>
      <c r="N133" s="47">
        <v>269.97000000000003</v>
      </c>
      <c r="O133" s="48">
        <f>EOMONTH(B133,0)</f>
        <v>45596</v>
      </c>
      <c r="P133" s="49" t="str">
        <f>"Q"&amp;ROUNDUP(MONTH(B133)/3,0)&amp;"-"&amp;YEAR(B133)</f>
        <v>Q4-2024</v>
      </c>
      <c r="Q133" s="50">
        <f ca="1">TODAY()-B133</f>
        <v>738</v>
      </c>
      <c r="R133" s="50">
        <f>COUNTIF($C$2:C133,C133)</f>
        <v>4</v>
      </c>
      <c r="S133" s="50">
        <v>132</v>
      </c>
    </row>
    <row r="134" spans="1:19">
      <c r="A134" s="45" t="s">
        <v>306</v>
      </c>
      <c r="B134" s="46">
        <v>45588</v>
      </c>
      <c r="C134" s="45" t="s">
        <v>75</v>
      </c>
      <c r="D134" s="45" t="s">
        <v>76</v>
      </c>
      <c r="E134" s="45" t="s">
        <v>89</v>
      </c>
      <c r="F134" s="45" t="s">
        <v>90</v>
      </c>
      <c r="G134" s="45" t="s">
        <v>56</v>
      </c>
      <c r="H134" s="45">
        <v>2</v>
      </c>
      <c r="I134" s="47">
        <v>149.99</v>
      </c>
      <c r="J134" s="45" t="s">
        <v>71</v>
      </c>
      <c r="K134" s="45" t="s">
        <v>58</v>
      </c>
      <c r="L134" s="45" t="s">
        <v>59</v>
      </c>
      <c r="M134" s="46">
        <v>44473</v>
      </c>
      <c r="N134" s="47">
        <v>299.98</v>
      </c>
      <c r="O134" s="48">
        <f>EOMONTH(B134,0)</f>
        <v>45596</v>
      </c>
      <c r="P134" s="49" t="str">
        <f>"Q"&amp;ROUNDUP(MONTH(B134)/3,0)&amp;"-"&amp;YEAR(B134)</f>
        <v>Q4-2024</v>
      </c>
      <c r="Q134" s="50">
        <f ca="1">TODAY()-B134</f>
        <v>736</v>
      </c>
      <c r="R134" s="50">
        <f>COUNTIF($C$2:C134,C134)</f>
        <v>6</v>
      </c>
      <c r="S134" s="50">
        <v>133</v>
      </c>
    </row>
    <row r="135" spans="1:19">
      <c r="A135" s="45" t="s">
        <v>307</v>
      </c>
      <c r="B135" s="46">
        <v>45588</v>
      </c>
      <c r="C135" s="45" t="s">
        <v>187</v>
      </c>
      <c r="D135" s="45" t="s">
        <v>188</v>
      </c>
      <c r="E135" s="45" t="s">
        <v>117</v>
      </c>
      <c r="F135" s="45" t="s">
        <v>118</v>
      </c>
      <c r="G135" s="45" t="s">
        <v>56</v>
      </c>
      <c r="H135" s="45">
        <v>2</v>
      </c>
      <c r="I135" s="47">
        <v>699.99</v>
      </c>
      <c r="J135" s="45" t="s">
        <v>57</v>
      </c>
      <c r="K135" s="45" t="s">
        <v>58</v>
      </c>
      <c r="L135" s="45" t="s">
        <v>59</v>
      </c>
      <c r="M135" s="46">
        <v>44992</v>
      </c>
      <c r="N135" s="47">
        <v>1399.98</v>
      </c>
      <c r="O135" s="48">
        <f>EOMONTH(B135,0)</f>
        <v>45596</v>
      </c>
      <c r="P135" s="49" t="str">
        <f>"Q"&amp;ROUNDUP(MONTH(B135)/3,0)&amp;"-"&amp;YEAR(B135)</f>
        <v>Q4-2024</v>
      </c>
      <c r="Q135" s="50">
        <f ca="1">TODAY()-B135</f>
        <v>736</v>
      </c>
      <c r="R135" s="50">
        <f>COUNTIF($C$2:C135,C135)</f>
        <v>3</v>
      </c>
      <c r="S135" s="50">
        <v>134</v>
      </c>
    </row>
    <row r="136" spans="1:19">
      <c r="A136" s="45" t="s">
        <v>308</v>
      </c>
      <c r="B136" s="46">
        <v>45589</v>
      </c>
      <c r="C136" s="45" t="s">
        <v>191</v>
      </c>
      <c r="D136" s="45" t="s">
        <v>192</v>
      </c>
      <c r="E136" s="45" t="s">
        <v>117</v>
      </c>
      <c r="F136" s="45" t="s">
        <v>118</v>
      </c>
      <c r="G136" s="45" t="s">
        <v>56</v>
      </c>
      <c r="H136" s="45">
        <v>5</v>
      </c>
      <c r="I136" s="47">
        <v>699.99</v>
      </c>
      <c r="J136" s="45" t="s">
        <v>57</v>
      </c>
      <c r="K136" s="45" t="s">
        <v>77</v>
      </c>
      <c r="L136" s="45" t="s">
        <v>64</v>
      </c>
      <c r="M136" s="46">
        <v>44635</v>
      </c>
      <c r="N136" s="47">
        <v>3499.95</v>
      </c>
      <c r="O136" s="48">
        <f>EOMONTH(B136,0)</f>
        <v>45596</v>
      </c>
      <c r="P136" s="49" t="str">
        <f>"Q"&amp;ROUNDUP(MONTH(B136)/3,0)&amp;"-"&amp;YEAR(B136)</f>
        <v>Q4-2024</v>
      </c>
      <c r="Q136" s="50">
        <f ca="1">TODAY()-B136</f>
        <v>735</v>
      </c>
      <c r="R136" s="50">
        <f>COUNTIF($C$2:C136,C136)</f>
        <v>4</v>
      </c>
      <c r="S136" s="50">
        <v>135</v>
      </c>
    </row>
    <row r="137" spans="1:19">
      <c r="A137" s="45" t="s">
        <v>309</v>
      </c>
      <c r="B137" s="46">
        <v>45592</v>
      </c>
      <c r="C137" s="45" t="s">
        <v>204</v>
      </c>
      <c r="D137" s="45" t="s">
        <v>205</v>
      </c>
      <c r="E137" s="45" t="s">
        <v>151</v>
      </c>
      <c r="F137" s="45" t="s">
        <v>152</v>
      </c>
      <c r="G137" s="45" t="s">
        <v>56</v>
      </c>
      <c r="H137" s="45">
        <v>3</v>
      </c>
      <c r="I137" s="47">
        <v>89.99</v>
      </c>
      <c r="J137" s="45" t="s">
        <v>63</v>
      </c>
      <c r="K137" s="45" t="s">
        <v>77</v>
      </c>
      <c r="L137" s="45" t="s">
        <v>73</v>
      </c>
      <c r="M137" s="46">
        <v>44615</v>
      </c>
      <c r="N137" s="47">
        <v>269.97000000000003</v>
      </c>
      <c r="O137" s="48">
        <f>EOMONTH(B137,0)</f>
        <v>45596</v>
      </c>
      <c r="P137" s="49" t="str">
        <f>"Q"&amp;ROUNDUP(MONTH(B137)/3,0)&amp;"-"&amp;YEAR(B137)</f>
        <v>Q4-2024</v>
      </c>
      <c r="Q137" s="50">
        <f ca="1">TODAY()-B137</f>
        <v>732</v>
      </c>
      <c r="R137" s="50">
        <f>COUNTIF($C$2:C137,C137)</f>
        <v>4</v>
      </c>
      <c r="S137" s="50">
        <v>136</v>
      </c>
    </row>
    <row r="138" spans="1:19">
      <c r="A138" s="45" t="s">
        <v>310</v>
      </c>
      <c r="B138" s="46">
        <v>45597</v>
      </c>
      <c r="C138" s="45" t="s">
        <v>53</v>
      </c>
      <c r="D138" s="45" t="s">
        <v>32</v>
      </c>
      <c r="E138" s="45" t="s">
        <v>54</v>
      </c>
      <c r="F138" s="45" t="s">
        <v>55</v>
      </c>
      <c r="G138" s="45" t="s">
        <v>56</v>
      </c>
      <c r="H138" s="45">
        <v>5</v>
      </c>
      <c r="I138" s="47">
        <v>249.99</v>
      </c>
      <c r="J138" s="45" t="s">
        <v>63</v>
      </c>
      <c r="K138" s="45" t="s">
        <v>72</v>
      </c>
      <c r="L138" s="45" t="s">
        <v>73</v>
      </c>
      <c r="M138" s="46">
        <v>44881</v>
      </c>
      <c r="N138" s="47">
        <v>1249.95</v>
      </c>
      <c r="O138" s="48">
        <f>EOMONTH(B138,0)</f>
        <v>45626</v>
      </c>
      <c r="P138" s="49" t="str">
        <f>"Q"&amp;ROUNDUP(MONTH(B138)/3,0)&amp;"-"&amp;YEAR(B138)</f>
        <v>Q4-2024</v>
      </c>
      <c r="Q138" s="50">
        <f ca="1">TODAY()-B138</f>
        <v>727</v>
      </c>
      <c r="R138" s="50">
        <f>COUNTIF($C$2:C138,C138)</f>
        <v>4</v>
      </c>
      <c r="S138" s="50">
        <v>137</v>
      </c>
    </row>
    <row r="139" spans="1:19">
      <c r="A139" s="45" t="s">
        <v>311</v>
      </c>
      <c r="B139" s="46">
        <v>45600</v>
      </c>
      <c r="C139" s="45" t="s">
        <v>102</v>
      </c>
      <c r="D139" s="45" t="s">
        <v>103</v>
      </c>
      <c r="E139" s="45" t="s">
        <v>139</v>
      </c>
      <c r="F139" s="45" t="s">
        <v>140</v>
      </c>
      <c r="G139" s="45" t="s">
        <v>83</v>
      </c>
      <c r="H139" s="45">
        <v>3</v>
      </c>
      <c r="I139" s="47">
        <v>299.99</v>
      </c>
      <c r="J139" s="45" t="s">
        <v>63</v>
      </c>
      <c r="K139" s="45" t="s">
        <v>72</v>
      </c>
      <c r="L139" s="45" t="s">
        <v>73</v>
      </c>
      <c r="M139" s="46">
        <v>44502</v>
      </c>
      <c r="N139" s="47">
        <v>899.97</v>
      </c>
      <c r="O139" s="48">
        <f>EOMONTH(B139,0)</f>
        <v>45626</v>
      </c>
      <c r="P139" s="49" t="str">
        <f>"Q"&amp;ROUNDUP(MONTH(B139)/3,0)&amp;"-"&amp;YEAR(B139)</f>
        <v>Q4-2024</v>
      </c>
      <c r="Q139" s="50">
        <f ca="1">TODAY()-B139</f>
        <v>724</v>
      </c>
      <c r="R139" s="50">
        <f>COUNTIF($C$2:C139,C139)</f>
        <v>5</v>
      </c>
      <c r="S139" s="50">
        <v>138</v>
      </c>
    </row>
    <row r="140" spans="1:19">
      <c r="A140" s="45" t="s">
        <v>312</v>
      </c>
      <c r="B140" s="46">
        <v>45603</v>
      </c>
      <c r="C140" s="45" t="s">
        <v>134</v>
      </c>
      <c r="D140" s="45" t="s">
        <v>30</v>
      </c>
      <c r="E140" s="45" t="s">
        <v>151</v>
      </c>
      <c r="F140" s="45" t="s">
        <v>152</v>
      </c>
      <c r="G140" s="45" t="s">
        <v>56</v>
      </c>
      <c r="H140" s="45">
        <v>3</v>
      </c>
      <c r="I140" s="47">
        <v>89.99</v>
      </c>
      <c r="J140" s="45" t="s">
        <v>63</v>
      </c>
      <c r="K140" s="45" t="s">
        <v>77</v>
      </c>
      <c r="L140" s="45" t="s">
        <v>64</v>
      </c>
      <c r="M140" s="46">
        <v>44420</v>
      </c>
      <c r="N140" s="47">
        <v>269.97000000000003</v>
      </c>
      <c r="O140" s="48">
        <f>EOMONTH(B140,0)</f>
        <v>45626</v>
      </c>
      <c r="P140" s="49" t="str">
        <f>"Q"&amp;ROUNDUP(MONTH(B140)/3,0)&amp;"-"&amp;YEAR(B140)</f>
        <v>Q4-2024</v>
      </c>
      <c r="Q140" s="50">
        <f ca="1">TODAY()-B140</f>
        <v>721</v>
      </c>
      <c r="R140" s="50">
        <f>COUNTIF($C$2:C140,C140)</f>
        <v>7</v>
      </c>
      <c r="S140" s="50">
        <v>139</v>
      </c>
    </row>
    <row r="141" spans="1:19">
      <c r="A141" s="45" t="s">
        <v>313</v>
      </c>
      <c r="B141" s="46">
        <v>45604</v>
      </c>
      <c r="C141" s="45" t="s">
        <v>125</v>
      </c>
      <c r="D141" s="45" t="s">
        <v>126</v>
      </c>
      <c r="E141" s="45" t="s">
        <v>81</v>
      </c>
      <c r="F141" s="45" t="s">
        <v>82</v>
      </c>
      <c r="G141" s="45" t="s">
        <v>83</v>
      </c>
      <c r="H141" s="45">
        <v>2</v>
      </c>
      <c r="I141" s="47">
        <v>149.99</v>
      </c>
      <c r="J141" s="45" t="s">
        <v>63</v>
      </c>
      <c r="K141" s="45" t="s">
        <v>87</v>
      </c>
      <c r="L141" s="45" t="s">
        <v>64</v>
      </c>
      <c r="M141" s="46">
        <v>44848</v>
      </c>
      <c r="N141" s="47">
        <v>299.98</v>
      </c>
      <c r="O141" s="48">
        <f>EOMONTH(B141,0)</f>
        <v>45626</v>
      </c>
      <c r="P141" s="49" t="str">
        <f>"Q"&amp;ROUNDUP(MONTH(B141)/3,0)&amp;"-"&amp;YEAR(B141)</f>
        <v>Q4-2024</v>
      </c>
      <c r="Q141" s="50">
        <f ca="1">TODAY()-B141</f>
        <v>720</v>
      </c>
      <c r="R141" s="50">
        <f>COUNTIF($C$2:C141,C141)</f>
        <v>4</v>
      </c>
      <c r="S141" s="50">
        <v>140</v>
      </c>
    </row>
    <row r="142" spans="1:19">
      <c r="A142" s="45" t="s">
        <v>314</v>
      </c>
      <c r="B142" s="46">
        <v>45605</v>
      </c>
      <c r="C142" s="45" t="s">
        <v>218</v>
      </c>
      <c r="D142" s="45" t="s">
        <v>219</v>
      </c>
      <c r="E142" s="45" t="s">
        <v>54</v>
      </c>
      <c r="F142" s="45" t="s">
        <v>55</v>
      </c>
      <c r="G142" s="45" t="s">
        <v>56</v>
      </c>
      <c r="H142" s="45">
        <v>1</v>
      </c>
      <c r="I142" s="47">
        <v>249.99</v>
      </c>
      <c r="J142" s="45" t="s">
        <v>63</v>
      </c>
      <c r="K142" s="45" t="s">
        <v>77</v>
      </c>
      <c r="L142" s="45" t="s">
        <v>64</v>
      </c>
      <c r="M142" s="46">
        <v>44828</v>
      </c>
      <c r="N142" s="47">
        <v>249.99</v>
      </c>
      <c r="O142" s="48">
        <f>EOMONTH(B142,0)</f>
        <v>45626</v>
      </c>
      <c r="P142" s="49" t="str">
        <f>"Q"&amp;ROUNDUP(MONTH(B142)/3,0)&amp;"-"&amp;YEAR(B142)</f>
        <v>Q4-2024</v>
      </c>
      <c r="Q142" s="50">
        <f ca="1">TODAY()-B142</f>
        <v>719</v>
      </c>
      <c r="R142" s="50">
        <f>COUNTIF($C$2:C142,C142)</f>
        <v>3</v>
      </c>
      <c r="S142" s="50">
        <v>141</v>
      </c>
    </row>
    <row r="143" spans="1:19">
      <c r="A143" s="45" t="s">
        <v>315</v>
      </c>
      <c r="B143" s="46">
        <v>45607</v>
      </c>
      <c r="C143" s="45" t="s">
        <v>109</v>
      </c>
      <c r="D143" s="45" t="s">
        <v>110</v>
      </c>
      <c r="E143" s="45" t="s">
        <v>89</v>
      </c>
      <c r="F143" s="45" t="s">
        <v>90</v>
      </c>
      <c r="G143" s="45" t="s">
        <v>56</v>
      </c>
      <c r="H143" s="45">
        <v>3</v>
      </c>
      <c r="I143" s="47">
        <v>149.99</v>
      </c>
      <c r="J143" s="45" t="s">
        <v>57</v>
      </c>
      <c r="K143" s="45" t="s">
        <v>77</v>
      </c>
      <c r="L143" s="45" t="s">
        <v>59</v>
      </c>
      <c r="M143" s="46">
        <v>44769</v>
      </c>
      <c r="N143" s="47">
        <v>449.97</v>
      </c>
      <c r="O143" s="48">
        <f>EOMONTH(B143,0)</f>
        <v>45626</v>
      </c>
      <c r="P143" s="49" t="str">
        <f>"Q"&amp;ROUNDUP(MONTH(B143)/3,0)&amp;"-"&amp;YEAR(B143)</f>
        <v>Q4-2024</v>
      </c>
      <c r="Q143" s="50">
        <f ca="1">TODAY()-B143</f>
        <v>717</v>
      </c>
      <c r="R143" s="50">
        <f>COUNTIF($C$2:C143,C143)</f>
        <v>4</v>
      </c>
      <c r="S143" s="50">
        <v>142</v>
      </c>
    </row>
    <row r="144" spans="1:19">
      <c r="A144" s="45" t="s">
        <v>316</v>
      </c>
      <c r="B144" s="46">
        <v>45607</v>
      </c>
      <c r="C144" s="45" t="s">
        <v>53</v>
      </c>
      <c r="D144" s="45" t="s">
        <v>32</v>
      </c>
      <c r="E144" s="45" t="s">
        <v>68</v>
      </c>
      <c r="F144" s="45" t="s">
        <v>69</v>
      </c>
      <c r="G144" s="45" t="s">
        <v>70</v>
      </c>
      <c r="H144" s="45">
        <v>5</v>
      </c>
      <c r="I144" s="47">
        <v>59.99</v>
      </c>
      <c r="J144" s="45" t="s">
        <v>71</v>
      </c>
      <c r="K144" s="45" t="s">
        <v>87</v>
      </c>
      <c r="L144" s="45" t="s">
        <v>64</v>
      </c>
      <c r="M144" s="46">
        <v>44694</v>
      </c>
      <c r="N144" s="47">
        <v>299.95</v>
      </c>
      <c r="O144" s="48">
        <f>EOMONTH(B144,0)</f>
        <v>45626</v>
      </c>
      <c r="P144" s="49" t="str">
        <f>"Q"&amp;ROUNDUP(MONTH(B144)/3,0)&amp;"-"&amp;YEAR(B144)</f>
        <v>Q4-2024</v>
      </c>
      <c r="Q144" s="50">
        <f ca="1">TODAY()-B144</f>
        <v>717</v>
      </c>
      <c r="R144" s="50">
        <f>COUNTIF($C$2:C144,C144)</f>
        <v>5</v>
      </c>
      <c r="S144" s="50">
        <v>143</v>
      </c>
    </row>
    <row r="145" spans="1:19">
      <c r="A145" s="45" t="s">
        <v>317</v>
      </c>
      <c r="B145" s="46">
        <v>45607</v>
      </c>
      <c r="C145" s="45" t="s">
        <v>134</v>
      </c>
      <c r="D145" s="45" t="s">
        <v>30</v>
      </c>
      <c r="E145" s="45" t="s">
        <v>54</v>
      </c>
      <c r="F145" s="45" t="s">
        <v>55</v>
      </c>
      <c r="G145" s="45" t="s">
        <v>56</v>
      </c>
      <c r="H145" s="45">
        <v>4</v>
      </c>
      <c r="I145" s="47">
        <v>249.99</v>
      </c>
      <c r="J145" s="45" t="s">
        <v>63</v>
      </c>
      <c r="K145" s="45" t="s">
        <v>87</v>
      </c>
      <c r="L145" s="45" t="s">
        <v>73</v>
      </c>
      <c r="M145" s="46">
        <v>44659</v>
      </c>
      <c r="N145" s="47">
        <v>999.96</v>
      </c>
      <c r="O145" s="48">
        <f>EOMONTH(B145,0)</f>
        <v>45626</v>
      </c>
      <c r="P145" s="49" t="str">
        <f>"Q"&amp;ROUNDUP(MONTH(B145)/3,0)&amp;"-"&amp;YEAR(B145)</f>
        <v>Q4-2024</v>
      </c>
      <c r="Q145" s="50">
        <f ca="1">TODAY()-B145</f>
        <v>717</v>
      </c>
      <c r="R145" s="50">
        <f>COUNTIF($C$2:C145,C145)</f>
        <v>8</v>
      </c>
      <c r="S145" s="50">
        <v>144</v>
      </c>
    </row>
    <row r="146" spans="1:19">
      <c r="A146" s="45" t="s">
        <v>318</v>
      </c>
      <c r="B146" s="46">
        <v>45608</v>
      </c>
      <c r="C146" s="45" t="s">
        <v>187</v>
      </c>
      <c r="D146" s="45" t="s">
        <v>188</v>
      </c>
      <c r="E146" s="45" t="s">
        <v>81</v>
      </c>
      <c r="F146" s="45" t="s">
        <v>82</v>
      </c>
      <c r="G146" s="45" t="s">
        <v>83</v>
      </c>
      <c r="H146" s="45">
        <v>5</v>
      </c>
      <c r="I146" s="47">
        <v>149.99</v>
      </c>
      <c r="J146" s="45" t="s">
        <v>71</v>
      </c>
      <c r="K146" s="45" t="s">
        <v>58</v>
      </c>
      <c r="L146" s="45" t="s">
        <v>59</v>
      </c>
      <c r="M146" s="46">
        <v>44901</v>
      </c>
      <c r="N146" s="47">
        <v>749.95</v>
      </c>
      <c r="O146" s="48">
        <f>EOMONTH(B146,0)</f>
        <v>45626</v>
      </c>
      <c r="P146" s="49" t="str">
        <f>"Q"&amp;ROUNDUP(MONTH(B146)/3,0)&amp;"-"&amp;YEAR(B146)</f>
        <v>Q4-2024</v>
      </c>
      <c r="Q146" s="50">
        <f ca="1">TODAY()-B146</f>
        <v>716</v>
      </c>
      <c r="R146" s="50">
        <f>COUNTIF($C$2:C146,C146)</f>
        <v>4</v>
      </c>
      <c r="S146" s="50">
        <v>145</v>
      </c>
    </row>
    <row r="147" spans="1:19">
      <c r="A147" s="45" t="s">
        <v>319</v>
      </c>
      <c r="B147" s="46">
        <v>45608</v>
      </c>
      <c r="C147" s="45" t="s">
        <v>120</v>
      </c>
      <c r="D147" s="45" t="s">
        <v>121</v>
      </c>
      <c r="E147" s="45" t="s">
        <v>68</v>
      </c>
      <c r="F147" s="45" t="s">
        <v>69</v>
      </c>
      <c r="G147" s="45" t="s">
        <v>70</v>
      </c>
      <c r="H147" s="45">
        <v>3</v>
      </c>
      <c r="I147" s="47">
        <v>59.99</v>
      </c>
      <c r="J147" s="45" t="s">
        <v>94</v>
      </c>
      <c r="K147" s="45" t="s">
        <v>72</v>
      </c>
      <c r="L147" s="45" t="s">
        <v>73</v>
      </c>
      <c r="M147" s="46">
        <v>45260</v>
      </c>
      <c r="N147" s="47">
        <v>179.97</v>
      </c>
      <c r="O147" s="48">
        <f>EOMONTH(B147,0)</f>
        <v>45626</v>
      </c>
      <c r="P147" s="49" t="str">
        <f>"Q"&amp;ROUNDUP(MONTH(B147)/3,0)&amp;"-"&amp;YEAR(B147)</f>
        <v>Q4-2024</v>
      </c>
      <c r="Q147" s="50">
        <f ca="1">TODAY()-B147</f>
        <v>716</v>
      </c>
      <c r="R147" s="50">
        <f>COUNTIF($C$2:C147,C147)</f>
        <v>3</v>
      </c>
      <c r="S147" s="50">
        <v>146</v>
      </c>
    </row>
    <row r="148" spans="1:19">
      <c r="A148" s="45" t="s">
        <v>320</v>
      </c>
      <c r="B148" s="46">
        <v>45613</v>
      </c>
      <c r="C148" s="45" t="s">
        <v>267</v>
      </c>
      <c r="D148" s="45" t="s">
        <v>268</v>
      </c>
      <c r="E148" s="45" t="s">
        <v>81</v>
      </c>
      <c r="F148" s="45" t="s">
        <v>82</v>
      </c>
      <c r="G148" s="45" t="s">
        <v>83</v>
      </c>
      <c r="H148" s="45">
        <v>5</v>
      </c>
      <c r="I148" s="47">
        <v>149.99</v>
      </c>
      <c r="J148" s="45" t="s">
        <v>57</v>
      </c>
      <c r="K148" s="45" t="s">
        <v>77</v>
      </c>
      <c r="L148" s="45" t="s">
        <v>59</v>
      </c>
      <c r="M148" s="46">
        <v>44869</v>
      </c>
      <c r="N148" s="47">
        <v>749.95</v>
      </c>
      <c r="O148" s="48">
        <f>EOMONTH(B148,0)</f>
        <v>45626</v>
      </c>
      <c r="P148" s="49" t="str">
        <f>"Q"&amp;ROUNDUP(MONTH(B148)/3,0)&amp;"-"&amp;YEAR(B148)</f>
        <v>Q4-2024</v>
      </c>
      <c r="Q148" s="50">
        <f ca="1">TODAY()-B148</f>
        <v>711</v>
      </c>
      <c r="R148" s="50">
        <f>COUNTIF($C$2:C148,C148)</f>
        <v>4</v>
      </c>
      <c r="S148" s="50">
        <v>147</v>
      </c>
    </row>
    <row r="149" spans="1:19">
      <c r="A149" s="45" t="s">
        <v>321</v>
      </c>
      <c r="B149" s="46">
        <v>45613</v>
      </c>
      <c r="C149" s="45" t="s">
        <v>123</v>
      </c>
      <c r="D149" s="45" t="s">
        <v>24</v>
      </c>
      <c r="E149" s="45" t="s">
        <v>117</v>
      </c>
      <c r="F149" s="45" t="s">
        <v>118</v>
      </c>
      <c r="G149" s="45" t="s">
        <v>56</v>
      </c>
      <c r="H149" s="45">
        <v>2</v>
      </c>
      <c r="I149" s="47">
        <v>699.99</v>
      </c>
      <c r="J149" s="45" t="s">
        <v>71</v>
      </c>
      <c r="K149" s="45" t="s">
        <v>87</v>
      </c>
      <c r="L149" s="45" t="s">
        <v>73</v>
      </c>
      <c r="M149" s="46">
        <v>44770</v>
      </c>
      <c r="N149" s="47">
        <v>1399.98</v>
      </c>
      <c r="O149" s="48">
        <f>EOMONTH(B149,0)</f>
        <v>45626</v>
      </c>
      <c r="P149" s="49" t="str">
        <f>"Q"&amp;ROUNDUP(MONTH(B149)/3,0)&amp;"-"&amp;YEAR(B149)</f>
        <v>Q4-2024</v>
      </c>
      <c r="Q149" s="50">
        <f ca="1">TODAY()-B149</f>
        <v>711</v>
      </c>
      <c r="R149" s="50">
        <f>COUNTIF($C$2:C149,C149)</f>
        <v>8</v>
      </c>
      <c r="S149" s="50">
        <v>148</v>
      </c>
    </row>
    <row r="150" spans="1:19">
      <c r="A150" s="45" t="s">
        <v>322</v>
      </c>
      <c r="B150" s="46">
        <v>45617</v>
      </c>
      <c r="C150" s="45" t="s">
        <v>157</v>
      </c>
      <c r="D150" s="45" t="s">
        <v>26</v>
      </c>
      <c r="E150" s="45" t="s">
        <v>159</v>
      </c>
      <c r="F150" s="45" t="s">
        <v>160</v>
      </c>
      <c r="G150" s="45" t="s">
        <v>83</v>
      </c>
      <c r="H150" s="45">
        <v>4</v>
      </c>
      <c r="I150" s="47">
        <v>199.99</v>
      </c>
      <c r="J150" s="45" t="s">
        <v>94</v>
      </c>
      <c r="K150" s="45" t="s">
        <v>58</v>
      </c>
      <c r="L150" s="45" t="s">
        <v>64</v>
      </c>
      <c r="M150" s="46">
        <v>44427</v>
      </c>
      <c r="N150" s="47">
        <v>799.96</v>
      </c>
      <c r="O150" s="48">
        <f>EOMONTH(B150,0)</f>
        <v>45626</v>
      </c>
      <c r="P150" s="49" t="str">
        <f>"Q"&amp;ROUNDUP(MONTH(B150)/3,0)&amp;"-"&amp;YEAR(B150)</f>
        <v>Q4-2024</v>
      </c>
      <c r="Q150" s="50">
        <f ca="1">TODAY()-B150</f>
        <v>707</v>
      </c>
      <c r="R150" s="50">
        <f>COUNTIF($C$2:C150,C150)</f>
        <v>3</v>
      </c>
      <c r="S150" s="50">
        <v>149</v>
      </c>
    </row>
    <row r="151" spans="1:19">
      <c r="A151" s="45" t="s">
        <v>323</v>
      </c>
      <c r="B151" s="46">
        <v>45619</v>
      </c>
      <c r="C151" s="45" t="s">
        <v>225</v>
      </c>
      <c r="D151" s="45" t="s">
        <v>226</v>
      </c>
      <c r="E151" s="45" t="s">
        <v>68</v>
      </c>
      <c r="F151" s="45" t="s">
        <v>69</v>
      </c>
      <c r="G151" s="45" t="s">
        <v>70</v>
      </c>
      <c r="H151" s="45">
        <v>1</v>
      </c>
      <c r="I151" s="47">
        <v>59.99</v>
      </c>
      <c r="J151" s="45" t="s">
        <v>94</v>
      </c>
      <c r="K151" s="45" t="s">
        <v>87</v>
      </c>
      <c r="L151" s="45" t="s">
        <v>73</v>
      </c>
      <c r="M151" s="46">
        <v>44560</v>
      </c>
      <c r="N151" s="47">
        <v>59.99</v>
      </c>
      <c r="O151" s="48">
        <f>EOMONTH(B151,0)</f>
        <v>45626</v>
      </c>
      <c r="P151" s="49" t="str">
        <f>"Q"&amp;ROUNDUP(MONTH(B151)/3,0)&amp;"-"&amp;YEAR(B151)</f>
        <v>Q4-2024</v>
      </c>
      <c r="Q151" s="50">
        <f ca="1">TODAY()-B151</f>
        <v>705</v>
      </c>
      <c r="R151" s="50">
        <f>COUNTIF($C$2:C151,C151)</f>
        <v>3</v>
      </c>
      <c r="S151" s="50">
        <v>150</v>
      </c>
    </row>
    <row r="152" spans="1:19">
      <c r="A152" s="45" t="s">
        <v>324</v>
      </c>
      <c r="B152" s="46">
        <v>45619</v>
      </c>
      <c r="C152" s="45" t="s">
        <v>187</v>
      </c>
      <c r="D152" s="45" t="s">
        <v>188</v>
      </c>
      <c r="E152" s="45" t="s">
        <v>117</v>
      </c>
      <c r="F152" s="45" t="s">
        <v>118</v>
      </c>
      <c r="G152" s="45" t="s">
        <v>56</v>
      </c>
      <c r="H152" s="45">
        <v>3</v>
      </c>
      <c r="I152" s="47">
        <v>699.99</v>
      </c>
      <c r="J152" s="45" t="s">
        <v>71</v>
      </c>
      <c r="K152" s="45" t="s">
        <v>87</v>
      </c>
      <c r="L152" s="45" t="s">
        <v>73</v>
      </c>
      <c r="M152" s="46">
        <v>44583</v>
      </c>
      <c r="N152" s="47">
        <v>2099.9699999999998</v>
      </c>
      <c r="O152" s="48">
        <f>EOMONTH(B152,0)</f>
        <v>45626</v>
      </c>
      <c r="P152" s="49" t="str">
        <f>"Q"&amp;ROUNDUP(MONTH(B152)/3,0)&amp;"-"&amp;YEAR(B152)</f>
        <v>Q4-2024</v>
      </c>
      <c r="Q152" s="50">
        <f ca="1">TODAY()-B152</f>
        <v>705</v>
      </c>
      <c r="R152" s="50">
        <f>COUNTIF($C$2:C152,C152)</f>
        <v>5</v>
      </c>
      <c r="S152" s="50">
        <v>151</v>
      </c>
    </row>
    <row r="153" spans="1:19">
      <c r="A153" s="45" t="s">
        <v>325</v>
      </c>
      <c r="B153" s="46">
        <v>45622</v>
      </c>
      <c r="C153" s="45" t="s">
        <v>326</v>
      </c>
      <c r="D153" s="45" t="s">
        <v>327</v>
      </c>
      <c r="E153" s="45" t="s">
        <v>54</v>
      </c>
      <c r="F153" s="45" t="s">
        <v>55</v>
      </c>
      <c r="G153" s="45" t="s">
        <v>56</v>
      </c>
      <c r="H153" s="45">
        <v>5</v>
      </c>
      <c r="I153" s="47">
        <v>249.99</v>
      </c>
      <c r="J153" s="45" t="s">
        <v>63</v>
      </c>
      <c r="K153" s="45" t="s">
        <v>77</v>
      </c>
      <c r="L153" s="45" t="s">
        <v>59</v>
      </c>
      <c r="M153" s="46">
        <v>44873</v>
      </c>
      <c r="N153" s="47">
        <v>1249.95</v>
      </c>
      <c r="O153" s="48">
        <f>EOMONTH(B153,0)</f>
        <v>45626</v>
      </c>
      <c r="P153" s="49" t="str">
        <f>"Q"&amp;ROUNDUP(MONTH(B153)/3,0)&amp;"-"&amp;YEAR(B153)</f>
        <v>Q4-2024</v>
      </c>
      <c r="Q153" s="50">
        <f ca="1">TODAY()-B153</f>
        <v>702</v>
      </c>
      <c r="R153" s="50">
        <f>COUNTIF($C$2:C153,C153)</f>
        <v>1</v>
      </c>
      <c r="S153" s="50">
        <v>152</v>
      </c>
    </row>
    <row r="154" spans="1:19">
      <c r="A154" s="45" t="s">
        <v>328</v>
      </c>
      <c r="B154" s="46">
        <v>45623</v>
      </c>
      <c r="C154" s="45" t="s">
        <v>146</v>
      </c>
      <c r="D154" s="45" t="s">
        <v>147</v>
      </c>
      <c r="E154" s="45" t="s">
        <v>81</v>
      </c>
      <c r="F154" s="45" t="s">
        <v>82</v>
      </c>
      <c r="G154" s="45" t="s">
        <v>83</v>
      </c>
      <c r="H154" s="45">
        <v>2</v>
      </c>
      <c r="I154" s="47">
        <v>149.99</v>
      </c>
      <c r="J154" s="45" t="s">
        <v>57</v>
      </c>
      <c r="K154" s="45" t="s">
        <v>72</v>
      </c>
      <c r="L154" s="45" t="s">
        <v>73</v>
      </c>
      <c r="M154" s="46">
        <v>45101</v>
      </c>
      <c r="N154" s="47">
        <v>299.98</v>
      </c>
      <c r="O154" s="48">
        <f>EOMONTH(B154,0)</f>
        <v>45626</v>
      </c>
      <c r="P154" s="49" t="str">
        <f>"Q"&amp;ROUNDUP(MONTH(B154)/3,0)&amp;"-"&amp;YEAR(B154)</f>
        <v>Q4-2024</v>
      </c>
      <c r="Q154" s="50">
        <f ca="1">TODAY()-B154</f>
        <v>701</v>
      </c>
      <c r="R154" s="50">
        <f>COUNTIF($C$2:C154,C154)</f>
        <v>3</v>
      </c>
      <c r="S154" s="50">
        <v>153</v>
      </c>
    </row>
    <row r="155" spans="1:19">
      <c r="A155" s="45" t="s">
        <v>329</v>
      </c>
      <c r="B155" s="46">
        <v>45627</v>
      </c>
      <c r="C155" s="45" t="s">
        <v>66</v>
      </c>
      <c r="D155" s="45" t="s">
        <v>67</v>
      </c>
      <c r="E155" s="45" t="s">
        <v>139</v>
      </c>
      <c r="F155" s="45" t="s">
        <v>140</v>
      </c>
      <c r="G155" s="45" t="s">
        <v>83</v>
      </c>
      <c r="H155" s="45">
        <v>3</v>
      </c>
      <c r="I155" s="47">
        <v>299.99</v>
      </c>
      <c r="J155" s="45" t="s">
        <v>57</v>
      </c>
      <c r="K155" s="45" t="s">
        <v>72</v>
      </c>
      <c r="L155" s="45" t="s">
        <v>64</v>
      </c>
      <c r="M155" s="46">
        <v>44659</v>
      </c>
      <c r="N155" s="47">
        <v>899.97</v>
      </c>
      <c r="O155" s="48">
        <f>EOMONTH(B155,0)</f>
        <v>45657</v>
      </c>
      <c r="P155" s="49" t="str">
        <f>"Q"&amp;ROUNDUP(MONTH(B155)/3,0)&amp;"-"&amp;YEAR(B155)</f>
        <v>Q4-2024</v>
      </c>
      <c r="Q155" s="50">
        <f ca="1">TODAY()-B155</f>
        <v>697</v>
      </c>
      <c r="R155" s="50">
        <f>COUNTIF($C$2:C155,C155)</f>
        <v>4</v>
      </c>
      <c r="S155" s="50">
        <v>154</v>
      </c>
    </row>
    <row r="156" spans="1:19">
      <c r="A156" s="45" t="s">
        <v>330</v>
      </c>
      <c r="B156" s="46">
        <v>45627</v>
      </c>
      <c r="C156" s="45" t="s">
        <v>92</v>
      </c>
      <c r="D156" s="45" t="s">
        <v>93</v>
      </c>
      <c r="E156" s="45" t="s">
        <v>54</v>
      </c>
      <c r="F156" s="45" t="s">
        <v>55</v>
      </c>
      <c r="G156" s="45" t="s">
        <v>56</v>
      </c>
      <c r="H156" s="45">
        <v>5</v>
      </c>
      <c r="I156" s="47">
        <v>249.99</v>
      </c>
      <c r="J156" s="45" t="s">
        <v>57</v>
      </c>
      <c r="K156" s="45" t="s">
        <v>58</v>
      </c>
      <c r="L156" s="45" t="s">
        <v>64</v>
      </c>
      <c r="M156" s="46">
        <v>44485</v>
      </c>
      <c r="N156" s="47">
        <v>1249.95</v>
      </c>
      <c r="O156" s="48">
        <f>EOMONTH(B156,0)</f>
        <v>45657</v>
      </c>
      <c r="P156" s="49" t="str">
        <f>"Q"&amp;ROUNDUP(MONTH(B156)/3,0)&amp;"-"&amp;YEAR(B156)</f>
        <v>Q4-2024</v>
      </c>
      <c r="Q156" s="50">
        <f ca="1">TODAY()-B156</f>
        <v>697</v>
      </c>
      <c r="R156" s="50">
        <f>COUNTIF($C$2:C156,C156)</f>
        <v>6</v>
      </c>
      <c r="S156" s="50">
        <v>155</v>
      </c>
    </row>
    <row r="157" spans="1:19">
      <c r="A157" s="45" t="s">
        <v>331</v>
      </c>
      <c r="B157" s="46">
        <v>45627</v>
      </c>
      <c r="C157" s="45" t="s">
        <v>61</v>
      </c>
      <c r="D157" s="45" t="s">
        <v>62</v>
      </c>
      <c r="E157" s="45" t="s">
        <v>89</v>
      </c>
      <c r="F157" s="45" t="s">
        <v>90</v>
      </c>
      <c r="G157" s="45" t="s">
        <v>56</v>
      </c>
      <c r="H157" s="45">
        <v>2</v>
      </c>
      <c r="I157" s="47">
        <v>149.99</v>
      </c>
      <c r="J157" s="45" t="s">
        <v>57</v>
      </c>
      <c r="K157" s="45" t="s">
        <v>72</v>
      </c>
      <c r="L157" s="45" t="s">
        <v>64</v>
      </c>
      <c r="M157" s="46">
        <v>44475</v>
      </c>
      <c r="N157" s="47">
        <v>299.98</v>
      </c>
      <c r="O157" s="48">
        <f>EOMONTH(B157,0)</f>
        <v>45657</v>
      </c>
      <c r="P157" s="49" t="str">
        <f>"Q"&amp;ROUNDUP(MONTH(B157)/3,0)&amp;"-"&amp;YEAR(B157)</f>
        <v>Q4-2024</v>
      </c>
      <c r="Q157" s="50">
        <f ca="1">TODAY()-B157</f>
        <v>697</v>
      </c>
      <c r="R157" s="50">
        <f>COUNTIF($C$2:C157,C157)</f>
        <v>5</v>
      </c>
      <c r="S157" s="50">
        <v>156</v>
      </c>
    </row>
    <row r="158" spans="1:19">
      <c r="A158" s="45" t="s">
        <v>332</v>
      </c>
      <c r="B158" s="46">
        <v>45627</v>
      </c>
      <c r="C158" s="45" t="s">
        <v>123</v>
      </c>
      <c r="D158" s="45" t="s">
        <v>24</v>
      </c>
      <c r="E158" s="45" t="s">
        <v>117</v>
      </c>
      <c r="F158" s="45" t="s">
        <v>118</v>
      </c>
      <c r="G158" s="45" t="s">
        <v>56</v>
      </c>
      <c r="H158" s="45">
        <v>5</v>
      </c>
      <c r="I158" s="47">
        <v>699.99</v>
      </c>
      <c r="J158" s="45" t="s">
        <v>94</v>
      </c>
      <c r="K158" s="45" t="s">
        <v>87</v>
      </c>
      <c r="L158" s="45" t="s">
        <v>73</v>
      </c>
      <c r="M158" s="46">
        <v>44944</v>
      </c>
      <c r="N158" s="47">
        <v>3499.95</v>
      </c>
      <c r="O158" s="48">
        <f>EOMONTH(B158,0)</f>
        <v>45657</v>
      </c>
      <c r="P158" s="49" t="str">
        <f>"Q"&amp;ROUNDUP(MONTH(B158)/3,0)&amp;"-"&amp;YEAR(B158)</f>
        <v>Q4-2024</v>
      </c>
      <c r="Q158" s="50">
        <f ca="1">TODAY()-B158</f>
        <v>697</v>
      </c>
      <c r="R158" s="50">
        <f>COUNTIF($C$2:C158,C158)</f>
        <v>9</v>
      </c>
      <c r="S158" s="50">
        <v>157</v>
      </c>
    </row>
    <row r="159" spans="1:19">
      <c r="A159" s="45" t="s">
        <v>333</v>
      </c>
      <c r="B159" s="46">
        <v>45629</v>
      </c>
      <c r="C159" s="45" t="s">
        <v>285</v>
      </c>
      <c r="D159" s="45" t="s">
        <v>286</v>
      </c>
      <c r="E159" s="45" t="s">
        <v>54</v>
      </c>
      <c r="F159" s="45" t="s">
        <v>55</v>
      </c>
      <c r="G159" s="45" t="s">
        <v>56</v>
      </c>
      <c r="H159" s="45">
        <v>4</v>
      </c>
      <c r="I159" s="47">
        <v>249.99</v>
      </c>
      <c r="J159" s="45" t="s">
        <v>71</v>
      </c>
      <c r="K159" s="45" t="s">
        <v>100</v>
      </c>
      <c r="L159" s="45" t="s">
        <v>64</v>
      </c>
      <c r="M159" s="46">
        <v>45098</v>
      </c>
      <c r="N159" s="47">
        <v>999.96</v>
      </c>
      <c r="O159" s="48">
        <f>EOMONTH(B159,0)</f>
        <v>45657</v>
      </c>
      <c r="P159" s="49" t="str">
        <f>"Q"&amp;ROUNDUP(MONTH(B159)/3,0)&amp;"-"&amp;YEAR(B159)</f>
        <v>Q4-2024</v>
      </c>
      <c r="Q159" s="50">
        <f ca="1">TODAY()-B159</f>
        <v>695</v>
      </c>
      <c r="R159" s="50">
        <f>COUNTIF($C$2:C159,C159)</f>
        <v>2</v>
      </c>
      <c r="S159" s="50">
        <v>158</v>
      </c>
    </row>
    <row r="160" spans="1:19">
      <c r="A160" s="45" t="s">
        <v>334</v>
      </c>
      <c r="B160" s="46">
        <v>45630</v>
      </c>
      <c r="C160" s="45" t="s">
        <v>85</v>
      </c>
      <c r="D160" s="45" t="s">
        <v>86</v>
      </c>
      <c r="E160" s="45" t="s">
        <v>117</v>
      </c>
      <c r="F160" s="45" t="s">
        <v>118</v>
      </c>
      <c r="G160" s="45" t="s">
        <v>56</v>
      </c>
      <c r="H160" s="45">
        <v>4</v>
      </c>
      <c r="I160" s="47">
        <v>699.99</v>
      </c>
      <c r="J160" s="45" t="s">
        <v>63</v>
      </c>
      <c r="K160" s="45" t="s">
        <v>77</v>
      </c>
      <c r="L160" s="45" t="s">
        <v>64</v>
      </c>
      <c r="M160" s="46">
        <v>44703</v>
      </c>
      <c r="N160" s="47">
        <v>2799.96</v>
      </c>
      <c r="O160" s="48">
        <f>EOMONTH(B160,0)</f>
        <v>45657</v>
      </c>
      <c r="P160" s="49" t="str">
        <f>"Q"&amp;ROUNDUP(MONTH(B160)/3,0)&amp;"-"&amp;YEAR(B160)</f>
        <v>Q4-2024</v>
      </c>
      <c r="Q160" s="50">
        <f ca="1">TODAY()-B160</f>
        <v>694</v>
      </c>
      <c r="R160" s="50">
        <f>COUNTIF($C$2:C160,C160)</f>
        <v>4</v>
      </c>
      <c r="S160" s="50">
        <v>159</v>
      </c>
    </row>
    <row r="161" spans="1:19">
      <c r="A161" s="45" t="s">
        <v>335</v>
      </c>
      <c r="B161" s="46">
        <v>45635</v>
      </c>
      <c r="C161" s="45" t="s">
        <v>142</v>
      </c>
      <c r="D161" s="45" t="s">
        <v>143</v>
      </c>
      <c r="E161" s="45" t="s">
        <v>54</v>
      </c>
      <c r="F161" s="45" t="s">
        <v>55</v>
      </c>
      <c r="G161" s="45" t="s">
        <v>56</v>
      </c>
      <c r="H161" s="45">
        <v>2</v>
      </c>
      <c r="I161" s="47">
        <v>249.99</v>
      </c>
      <c r="J161" s="45" t="s">
        <v>63</v>
      </c>
      <c r="K161" s="45" t="s">
        <v>58</v>
      </c>
      <c r="L161" s="45" t="s">
        <v>64</v>
      </c>
      <c r="M161" s="46">
        <v>44396</v>
      </c>
      <c r="N161" s="47">
        <v>499.98</v>
      </c>
      <c r="O161" s="48">
        <f>EOMONTH(B161,0)</f>
        <v>45657</v>
      </c>
      <c r="P161" s="49" t="str">
        <f>"Q"&amp;ROUNDUP(MONTH(B161)/3,0)&amp;"-"&amp;YEAR(B161)</f>
        <v>Q4-2024</v>
      </c>
      <c r="Q161" s="50">
        <f ca="1">TODAY()-B161</f>
        <v>689</v>
      </c>
      <c r="R161" s="50">
        <f>COUNTIF($C$2:C161,C161)</f>
        <v>3</v>
      </c>
      <c r="S161" s="50">
        <v>160</v>
      </c>
    </row>
    <row r="162" spans="1:19">
      <c r="A162" s="45" t="s">
        <v>336</v>
      </c>
      <c r="B162" s="46">
        <v>45635</v>
      </c>
      <c r="C162" s="45" t="s">
        <v>337</v>
      </c>
      <c r="D162" s="45" t="s">
        <v>338</v>
      </c>
      <c r="E162" s="45" t="s">
        <v>68</v>
      </c>
      <c r="F162" s="45" t="s">
        <v>69</v>
      </c>
      <c r="G162" s="45" t="s">
        <v>70</v>
      </c>
      <c r="H162" s="45">
        <v>3</v>
      </c>
      <c r="I162" s="47">
        <v>59.99</v>
      </c>
      <c r="J162" s="45" t="s">
        <v>57</v>
      </c>
      <c r="K162" s="45" t="s">
        <v>58</v>
      </c>
      <c r="L162" s="45" t="s">
        <v>64</v>
      </c>
      <c r="M162" s="46">
        <v>45052</v>
      </c>
      <c r="N162" s="47">
        <v>179.97</v>
      </c>
      <c r="O162" s="48">
        <f>EOMONTH(B162,0)</f>
        <v>45657</v>
      </c>
      <c r="P162" s="49" t="str">
        <f>"Q"&amp;ROUNDUP(MONTH(B162)/3,0)&amp;"-"&amp;YEAR(B162)</f>
        <v>Q4-2024</v>
      </c>
      <c r="Q162" s="50">
        <f ca="1">TODAY()-B162</f>
        <v>689</v>
      </c>
      <c r="R162" s="50">
        <f>COUNTIF($C$2:C162,C162)</f>
        <v>1</v>
      </c>
      <c r="S162" s="50">
        <v>161</v>
      </c>
    </row>
    <row r="163" spans="1:19">
      <c r="A163" s="45" t="s">
        <v>339</v>
      </c>
      <c r="B163" s="46">
        <v>45635</v>
      </c>
      <c r="C163" s="45" t="s">
        <v>174</v>
      </c>
      <c r="D163" s="45" t="s">
        <v>175</v>
      </c>
      <c r="E163" s="45" t="s">
        <v>148</v>
      </c>
      <c r="F163" s="45" t="s">
        <v>149</v>
      </c>
      <c r="G163" s="45" t="s">
        <v>70</v>
      </c>
      <c r="H163" s="45">
        <v>4</v>
      </c>
      <c r="I163" s="47">
        <v>79.989999999999995</v>
      </c>
      <c r="J163" s="45" t="s">
        <v>94</v>
      </c>
      <c r="K163" s="45" t="s">
        <v>100</v>
      </c>
      <c r="L163" s="45" t="s">
        <v>73</v>
      </c>
      <c r="M163" s="46">
        <v>44921</v>
      </c>
      <c r="N163" s="47">
        <v>319.95999999999998</v>
      </c>
      <c r="O163" s="48">
        <f>EOMONTH(B163,0)</f>
        <v>45657</v>
      </c>
      <c r="P163" s="49" t="str">
        <f>"Q"&amp;ROUNDUP(MONTH(B163)/3,0)&amp;"-"&amp;YEAR(B163)</f>
        <v>Q4-2024</v>
      </c>
      <c r="Q163" s="50">
        <f ca="1">TODAY()-B163</f>
        <v>689</v>
      </c>
      <c r="R163" s="50">
        <f>COUNTIF($C$2:C163,C163)</f>
        <v>4</v>
      </c>
      <c r="S163" s="50">
        <v>162</v>
      </c>
    </row>
    <row r="164" spans="1:19">
      <c r="A164" s="45" t="s">
        <v>340</v>
      </c>
      <c r="B164" s="46">
        <v>45636</v>
      </c>
      <c r="C164" s="45" t="s">
        <v>154</v>
      </c>
      <c r="D164" s="45" t="s">
        <v>155</v>
      </c>
      <c r="E164" s="45" t="s">
        <v>148</v>
      </c>
      <c r="F164" s="45" t="s">
        <v>149</v>
      </c>
      <c r="G164" s="45" t="s">
        <v>70</v>
      </c>
      <c r="H164" s="45">
        <v>3</v>
      </c>
      <c r="I164" s="47">
        <v>79.989999999999995</v>
      </c>
      <c r="J164" s="45" t="s">
        <v>94</v>
      </c>
      <c r="K164" s="45" t="s">
        <v>100</v>
      </c>
      <c r="L164" s="45" t="s">
        <v>73</v>
      </c>
      <c r="M164" s="46">
        <v>44779</v>
      </c>
      <c r="N164" s="47">
        <v>239.97</v>
      </c>
      <c r="O164" s="48">
        <f>EOMONTH(B164,0)</f>
        <v>45657</v>
      </c>
      <c r="P164" s="49" t="str">
        <f>"Q"&amp;ROUNDUP(MONTH(B164)/3,0)&amp;"-"&amp;YEAR(B164)</f>
        <v>Q4-2024</v>
      </c>
      <c r="Q164" s="50">
        <f ca="1">TODAY()-B164</f>
        <v>688</v>
      </c>
      <c r="R164" s="50">
        <f>COUNTIF($C$2:C164,C164)</f>
        <v>4</v>
      </c>
      <c r="S164" s="50">
        <v>163</v>
      </c>
    </row>
    <row r="165" spans="1:19">
      <c r="A165" s="45" t="s">
        <v>341</v>
      </c>
      <c r="B165" s="46">
        <v>45638</v>
      </c>
      <c r="C165" s="45" t="s">
        <v>109</v>
      </c>
      <c r="D165" s="45" t="s">
        <v>110</v>
      </c>
      <c r="E165" s="45" t="s">
        <v>98</v>
      </c>
      <c r="F165" s="45" t="s">
        <v>99</v>
      </c>
      <c r="G165" s="45" t="s">
        <v>56</v>
      </c>
      <c r="H165" s="45">
        <v>2</v>
      </c>
      <c r="I165" s="47">
        <v>899.99</v>
      </c>
      <c r="J165" s="45" t="s">
        <v>57</v>
      </c>
      <c r="K165" s="45" t="s">
        <v>77</v>
      </c>
      <c r="L165" s="45" t="s">
        <v>59</v>
      </c>
      <c r="M165" s="46">
        <v>44406</v>
      </c>
      <c r="N165" s="47">
        <v>1799.98</v>
      </c>
      <c r="O165" s="48">
        <f>EOMONTH(B165,0)</f>
        <v>45657</v>
      </c>
      <c r="P165" s="49" t="str">
        <f>"Q"&amp;ROUNDUP(MONTH(B165)/3,0)&amp;"-"&amp;YEAR(B165)</f>
        <v>Q4-2024</v>
      </c>
      <c r="Q165" s="50">
        <f ca="1">TODAY()-B165</f>
        <v>686</v>
      </c>
      <c r="R165" s="50">
        <f>COUNTIF($C$2:C165,C165)</f>
        <v>5</v>
      </c>
      <c r="S165" s="50">
        <v>164</v>
      </c>
    </row>
    <row r="166" spans="1:19">
      <c r="A166" s="45" t="s">
        <v>342</v>
      </c>
      <c r="B166" s="46">
        <v>45641</v>
      </c>
      <c r="C166" s="45" t="s">
        <v>215</v>
      </c>
      <c r="D166" s="45" t="s">
        <v>216</v>
      </c>
      <c r="E166" s="45" t="s">
        <v>81</v>
      </c>
      <c r="F166" s="45" t="s">
        <v>82</v>
      </c>
      <c r="G166" s="45" t="s">
        <v>83</v>
      </c>
      <c r="H166" s="45">
        <v>1</v>
      </c>
      <c r="I166" s="47">
        <v>149.99</v>
      </c>
      <c r="J166" s="45" t="s">
        <v>94</v>
      </c>
      <c r="K166" s="45" t="s">
        <v>100</v>
      </c>
      <c r="L166" s="45" t="s">
        <v>73</v>
      </c>
      <c r="M166" s="46">
        <v>45200</v>
      </c>
      <c r="N166" s="47">
        <v>149.99</v>
      </c>
      <c r="O166" s="48">
        <f>EOMONTH(B166,0)</f>
        <v>45657</v>
      </c>
      <c r="P166" s="49" t="str">
        <f>"Q"&amp;ROUNDUP(MONTH(B166)/3,0)&amp;"-"&amp;YEAR(B166)</f>
        <v>Q4-2024</v>
      </c>
      <c r="Q166" s="50">
        <f ca="1">TODAY()-B166</f>
        <v>683</v>
      </c>
      <c r="R166" s="50">
        <f>COUNTIF($C$2:C166,C166)</f>
        <v>4</v>
      </c>
      <c r="S166" s="50">
        <v>165</v>
      </c>
    </row>
    <row r="167" spans="1:19">
      <c r="A167" s="45" t="s">
        <v>343</v>
      </c>
      <c r="B167" s="46">
        <v>45641</v>
      </c>
      <c r="C167" s="45" t="s">
        <v>171</v>
      </c>
      <c r="D167" s="45" t="s">
        <v>172</v>
      </c>
      <c r="E167" s="45" t="s">
        <v>139</v>
      </c>
      <c r="F167" s="45" t="s">
        <v>140</v>
      </c>
      <c r="G167" s="45" t="s">
        <v>83</v>
      </c>
      <c r="H167" s="45">
        <v>2</v>
      </c>
      <c r="I167" s="47">
        <v>299.99</v>
      </c>
      <c r="J167" s="45" t="s">
        <v>57</v>
      </c>
      <c r="K167" s="45" t="s">
        <v>100</v>
      </c>
      <c r="L167" s="45" t="s">
        <v>64</v>
      </c>
      <c r="M167" s="46">
        <v>44724</v>
      </c>
      <c r="N167" s="47">
        <v>599.98</v>
      </c>
      <c r="O167" s="48">
        <f>EOMONTH(B167,0)</f>
        <v>45657</v>
      </c>
      <c r="P167" s="49" t="str">
        <f>"Q"&amp;ROUNDUP(MONTH(B167)/3,0)&amp;"-"&amp;YEAR(B167)</f>
        <v>Q4-2024</v>
      </c>
      <c r="Q167" s="50">
        <f ca="1">TODAY()-B167</f>
        <v>683</v>
      </c>
      <c r="R167" s="50">
        <f>COUNTIF($C$2:C167,C167)</f>
        <v>3</v>
      </c>
      <c r="S167" s="50">
        <v>166</v>
      </c>
    </row>
    <row r="168" spans="1:19">
      <c r="A168" s="45" t="s">
        <v>344</v>
      </c>
      <c r="B168" s="46">
        <v>45644</v>
      </c>
      <c r="C168" s="45" t="s">
        <v>165</v>
      </c>
      <c r="D168" s="45" t="s">
        <v>166</v>
      </c>
      <c r="E168" s="45" t="s">
        <v>68</v>
      </c>
      <c r="F168" s="45" t="s">
        <v>69</v>
      </c>
      <c r="G168" s="45" t="s">
        <v>70</v>
      </c>
      <c r="H168" s="45">
        <v>2</v>
      </c>
      <c r="I168" s="47">
        <v>59.99</v>
      </c>
      <c r="J168" s="45" t="s">
        <v>57</v>
      </c>
      <c r="K168" s="45" t="s">
        <v>87</v>
      </c>
      <c r="L168" s="45" t="s">
        <v>59</v>
      </c>
      <c r="M168" s="46">
        <v>45191</v>
      </c>
      <c r="N168" s="47">
        <v>119.98</v>
      </c>
      <c r="O168" s="48">
        <f>EOMONTH(B168,0)</f>
        <v>45657</v>
      </c>
      <c r="P168" s="49" t="str">
        <f>"Q"&amp;ROUNDUP(MONTH(B168)/3,0)&amp;"-"&amp;YEAR(B168)</f>
        <v>Q4-2024</v>
      </c>
      <c r="Q168" s="50">
        <f ca="1">TODAY()-B168</f>
        <v>680</v>
      </c>
      <c r="R168" s="50">
        <f>COUNTIF($C$2:C168,C168)</f>
        <v>4</v>
      </c>
      <c r="S168" s="50">
        <v>167</v>
      </c>
    </row>
    <row r="169" spans="1:19">
      <c r="A169" s="45" t="s">
        <v>345</v>
      </c>
      <c r="B169" s="46">
        <v>45645</v>
      </c>
      <c r="C169" s="45" t="s">
        <v>215</v>
      </c>
      <c r="D169" s="45" t="s">
        <v>216</v>
      </c>
      <c r="E169" s="45" t="s">
        <v>151</v>
      </c>
      <c r="F169" s="45" t="s">
        <v>152</v>
      </c>
      <c r="G169" s="45" t="s">
        <v>56</v>
      </c>
      <c r="H169" s="45">
        <v>1</v>
      </c>
      <c r="I169" s="47">
        <v>89.99</v>
      </c>
      <c r="J169" s="45" t="s">
        <v>94</v>
      </c>
      <c r="K169" s="45" t="s">
        <v>58</v>
      </c>
      <c r="L169" s="45" t="s">
        <v>73</v>
      </c>
      <c r="M169" s="46">
        <v>44760</v>
      </c>
      <c r="N169" s="47">
        <v>89.99</v>
      </c>
      <c r="O169" s="48">
        <f>EOMONTH(B169,0)</f>
        <v>45657</v>
      </c>
      <c r="P169" s="49" t="str">
        <f>"Q"&amp;ROUNDUP(MONTH(B169)/3,0)&amp;"-"&amp;YEAR(B169)</f>
        <v>Q4-2024</v>
      </c>
      <c r="Q169" s="50">
        <f ca="1">TODAY()-B169</f>
        <v>679</v>
      </c>
      <c r="R169" s="50">
        <f>COUNTIF($C$2:C169,C169)</f>
        <v>5</v>
      </c>
      <c r="S169" s="50">
        <v>168</v>
      </c>
    </row>
    <row r="170" spans="1:19">
      <c r="A170" s="45" t="s">
        <v>346</v>
      </c>
      <c r="B170" s="46">
        <v>45645</v>
      </c>
      <c r="C170" s="45" t="s">
        <v>180</v>
      </c>
      <c r="D170" s="45" t="s">
        <v>181</v>
      </c>
      <c r="E170" s="45" t="s">
        <v>98</v>
      </c>
      <c r="F170" s="45" t="s">
        <v>99</v>
      </c>
      <c r="G170" s="45" t="s">
        <v>56</v>
      </c>
      <c r="H170" s="45">
        <v>5</v>
      </c>
      <c r="I170" s="47">
        <v>899.99</v>
      </c>
      <c r="J170" s="45" t="s">
        <v>94</v>
      </c>
      <c r="K170" s="45" t="s">
        <v>100</v>
      </c>
      <c r="L170" s="45" t="s">
        <v>73</v>
      </c>
      <c r="M170" s="46">
        <v>44625</v>
      </c>
      <c r="N170" s="47">
        <v>4499.95</v>
      </c>
      <c r="O170" s="48">
        <f>EOMONTH(B170,0)</f>
        <v>45657</v>
      </c>
      <c r="P170" s="49" t="str">
        <f>"Q"&amp;ROUNDUP(MONTH(B170)/3,0)&amp;"-"&amp;YEAR(B170)</f>
        <v>Q4-2024</v>
      </c>
      <c r="Q170" s="50">
        <f ca="1">TODAY()-B170</f>
        <v>679</v>
      </c>
      <c r="R170" s="50">
        <f>COUNTIF($C$2:C170,C170)</f>
        <v>6</v>
      </c>
      <c r="S170" s="50">
        <v>169</v>
      </c>
    </row>
    <row r="171" spans="1:19">
      <c r="A171" s="45" t="s">
        <v>347</v>
      </c>
      <c r="B171" s="46">
        <v>45646</v>
      </c>
      <c r="C171" s="45" t="s">
        <v>79</v>
      </c>
      <c r="D171" s="45" t="s">
        <v>80</v>
      </c>
      <c r="E171" s="45" t="s">
        <v>81</v>
      </c>
      <c r="F171" s="45" t="s">
        <v>82</v>
      </c>
      <c r="G171" s="45" t="s">
        <v>83</v>
      </c>
      <c r="H171" s="45">
        <v>2</v>
      </c>
      <c r="I171" s="47">
        <v>149.99</v>
      </c>
      <c r="J171" s="45" t="s">
        <v>57</v>
      </c>
      <c r="K171" s="45" t="s">
        <v>72</v>
      </c>
      <c r="L171" s="45" t="s">
        <v>59</v>
      </c>
      <c r="M171" s="46">
        <v>45239</v>
      </c>
      <c r="N171" s="47">
        <v>299.98</v>
      </c>
      <c r="O171" s="48">
        <f>EOMONTH(B171,0)</f>
        <v>45657</v>
      </c>
      <c r="P171" s="49" t="str">
        <f>"Q"&amp;ROUNDUP(MONTH(B171)/3,0)&amp;"-"&amp;YEAR(B171)</f>
        <v>Q4-2024</v>
      </c>
      <c r="Q171" s="50">
        <f ca="1">TODAY()-B171</f>
        <v>678</v>
      </c>
      <c r="R171" s="50">
        <f>COUNTIF($C$2:C171,C171)</f>
        <v>5</v>
      </c>
      <c r="S171" s="50">
        <v>170</v>
      </c>
    </row>
    <row r="172" spans="1:19">
      <c r="A172" s="45" t="s">
        <v>348</v>
      </c>
      <c r="B172" s="46">
        <v>45648</v>
      </c>
      <c r="C172" s="45" t="s">
        <v>146</v>
      </c>
      <c r="D172" s="45" t="s">
        <v>147</v>
      </c>
      <c r="E172" s="45" t="s">
        <v>89</v>
      </c>
      <c r="F172" s="45" t="s">
        <v>90</v>
      </c>
      <c r="G172" s="45" t="s">
        <v>56</v>
      </c>
      <c r="H172" s="45">
        <v>2</v>
      </c>
      <c r="I172" s="47">
        <v>149.99</v>
      </c>
      <c r="J172" s="45" t="s">
        <v>94</v>
      </c>
      <c r="K172" s="45" t="s">
        <v>87</v>
      </c>
      <c r="L172" s="45" t="s">
        <v>64</v>
      </c>
      <c r="M172" s="46">
        <v>45280</v>
      </c>
      <c r="N172" s="47">
        <v>299.98</v>
      </c>
      <c r="O172" s="48">
        <f>EOMONTH(B172,0)</f>
        <v>45657</v>
      </c>
      <c r="P172" s="49" t="str">
        <f>"Q"&amp;ROUNDUP(MONTH(B172)/3,0)&amp;"-"&amp;YEAR(B172)</f>
        <v>Q4-2024</v>
      </c>
      <c r="Q172" s="50">
        <f ca="1">TODAY()-B172</f>
        <v>676</v>
      </c>
      <c r="R172" s="50">
        <f>COUNTIF($C$2:C172,C172)</f>
        <v>4</v>
      </c>
      <c r="S172" s="50">
        <v>171</v>
      </c>
    </row>
    <row r="173" spans="1:19">
      <c r="A173" s="45" t="s">
        <v>349</v>
      </c>
      <c r="B173" s="46">
        <v>45648</v>
      </c>
      <c r="C173" s="45" t="s">
        <v>215</v>
      </c>
      <c r="D173" s="45" t="s">
        <v>216</v>
      </c>
      <c r="E173" s="45" t="s">
        <v>81</v>
      </c>
      <c r="F173" s="45" t="s">
        <v>82</v>
      </c>
      <c r="G173" s="45" t="s">
        <v>83</v>
      </c>
      <c r="H173" s="45">
        <v>3</v>
      </c>
      <c r="I173" s="47">
        <v>149.99</v>
      </c>
      <c r="J173" s="45" t="s">
        <v>94</v>
      </c>
      <c r="K173" s="45" t="s">
        <v>77</v>
      </c>
      <c r="L173" s="45" t="s">
        <v>73</v>
      </c>
      <c r="M173" s="46">
        <v>44522</v>
      </c>
      <c r="N173" s="47">
        <v>449.97</v>
      </c>
      <c r="O173" s="48">
        <f>EOMONTH(B173,0)</f>
        <v>45657</v>
      </c>
      <c r="P173" s="49" t="str">
        <f>"Q"&amp;ROUNDUP(MONTH(B173)/3,0)&amp;"-"&amp;YEAR(B173)</f>
        <v>Q4-2024</v>
      </c>
      <c r="Q173" s="50">
        <f ca="1">TODAY()-B173</f>
        <v>676</v>
      </c>
      <c r="R173" s="50">
        <f>COUNTIF($C$2:C173,C173)</f>
        <v>6</v>
      </c>
      <c r="S173" s="50">
        <v>172</v>
      </c>
    </row>
    <row r="174" spans="1:19">
      <c r="A174" s="45" t="s">
        <v>350</v>
      </c>
      <c r="B174" s="46">
        <v>45649</v>
      </c>
      <c r="C174" s="45" t="s">
        <v>66</v>
      </c>
      <c r="D174" s="45" t="s">
        <v>67</v>
      </c>
      <c r="E174" s="45" t="s">
        <v>139</v>
      </c>
      <c r="F174" s="45" t="s">
        <v>140</v>
      </c>
      <c r="G174" s="45" t="s">
        <v>83</v>
      </c>
      <c r="H174" s="45">
        <v>2</v>
      </c>
      <c r="I174" s="47">
        <v>299.99</v>
      </c>
      <c r="J174" s="45" t="s">
        <v>71</v>
      </c>
      <c r="K174" s="45" t="s">
        <v>72</v>
      </c>
      <c r="L174" s="45" t="s">
        <v>59</v>
      </c>
      <c r="M174" s="46">
        <v>44721</v>
      </c>
      <c r="N174" s="47">
        <v>599.98</v>
      </c>
      <c r="O174" s="48">
        <f>EOMONTH(B174,0)</f>
        <v>45657</v>
      </c>
      <c r="P174" s="49" t="str">
        <f>"Q"&amp;ROUNDUP(MONTH(B174)/3,0)&amp;"-"&amp;YEAR(B174)</f>
        <v>Q4-2024</v>
      </c>
      <c r="Q174" s="50">
        <f ca="1">TODAY()-B174</f>
        <v>675</v>
      </c>
      <c r="R174" s="50">
        <f>COUNTIF($C$2:C174,C174)</f>
        <v>5</v>
      </c>
      <c r="S174" s="50">
        <v>173</v>
      </c>
    </row>
    <row r="175" spans="1:19">
      <c r="A175" s="45" t="s">
        <v>351</v>
      </c>
      <c r="B175" s="46">
        <v>45654</v>
      </c>
      <c r="C175" s="45" t="s">
        <v>79</v>
      </c>
      <c r="D175" s="45" t="s">
        <v>80</v>
      </c>
      <c r="E175" s="45" t="s">
        <v>139</v>
      </c>
      <c r="F175" s="45" t="s">
        <v>140</v>
      </c>
      <c r="G175" s="45" t="s">
        <v>83</v>
      </c>
      <c r="H175" s="45">
        <v>2</v>
      </c>
      <c r="I175" s="47">
        <v>299.99</v>
      </c>
      <c r="J175" s="45" t="s">
        <v>57</v>
      </c>
      <c r="K175" s="45" t="s">
        <v>87</v>
      </c>
      <c r="L175" s="45" t="s">
        <v>59</v>
      </c>
      <c r="M175" s="46">
        <v>44771</v>
      </c>
      <c r="N175" s="47">
        <v>599.98</v>
      </c>
      <c r="O175" s="48">
        <f>EOMONTH(B175,0)</f>
        <v>45657</v>
      </c>
      <c r="P175" s="49" t="str">
        <f>"Q"&amp;ROUNDUP(MONTH(B175)/3,0)&amp;"-"&amp;YEAR(B175)</f>
        <v>Q4-2024</v>
      </c>
      <c r="Q175" s="50">
        <f ca="1">TODAY()-B175</f>
        <v>670</v>
      </c>
      <c r="R175" s="50">
        <f>COUNTIF($C$2:C175,C175)</f>
        <v>6</v>
      </c>
      <c r="S175" s="50">
        <v>174</v>
      </c>
    </row>
    <row r="176" spans="1:19">
      <c r="A176" s="45" t="s">
        <v>352</v>
      </c>
      <c r="B176" s="46">
        <v>45654</v>
      </c>
      <c r="C176" s="45" t="s">
        <v>154</v>
      </c>
      <c r="D176" s="45" t="s">
        <v>155</v>
      </c>
      <c r="E176" s="45" t="s">
        <v>159</v>
      </c>
      <c r="F176" s="45" t="s">
        <v>160</v>
      </c>
      <c r="G176" s="45" t="s">
        <v>83</v>
      </c>
      <c r="H176" s="45">
        <v>4</v>
      </c>
      <c r="I176" s="47">
        <v>199.99</v>
      </c>
      <c r="J176" s="45" t="s">
        <v>63</v>
      </c>
      <c r="K176" s="45" t="s">
        <v>58</v>
      </c>
      <c r="L176" s="45" t="s">
        <v>59</v>
      </c>
      <c r="M176" s="46">
        <v>44523</v>
      </c>
      <c r="N176" s="47">
        <v>799.96</v>
      </c>
      <c r="O176" s="48">
        <f>EOMONTH(B176,0)</f>
        <v>45657</v>
      </c>
      <c r="P176" s="49" t="str">
        <f>"Q"&amp;ROUNDUP(MONTH(B176)/3,0)&amp;"-"&amp;YEAR(B176)</f>
        <v>Q4-2024</v>
      </c>
      <c r="Q176" s="50">
        <f ca="1">TODAY()-B176</f>
        <v>670</v>
      </c>
      <c r="R176" s="50">
        <f>COUNTIF($C$2:C176,C176)</f>
        <v>5</v>
      </c>
      <c r="S176" s="50">
        <v>175</v>
      </c>
    </row>
    <row r="177" spans="1:19">
      <c r="A177" s="45" t="s">
        <v>353</v>
      </c>
      <c r="B177" s="46">
        <v>45655</v>
      </c>
      <c r="C177" s="45" t="s">
        <v>96</v>
      </c>
      <c r="D177" s="45" t="s">
        <v>97</v>
      </c>
      <c r="E177" s="45" t="s">
        <v>151</v>
      </c>
      <c r="F177" s="45" t="s">
        <v>152</v>
      </c>
      <c r="G177" s="45" t="s">
        <v>56</v>
      </c>
      <c r="H177" s="45">
        <v>1</v>
      </c>
      <c r="I177" s="47">
        <v>89.99</v>
      </c>
      <c r="J177" s="45" t="s">
        <v>63</v>
      </c>
      <c r="K177" s="45" t="s">
        <v>72</v>
      </c>
      <c r="L177" s="45" t="s">
        <v>64</v>
      </c>
      <c r="M177" s="46">
        <v>44591</v>
      </c>
      <c r="N177" s="47">
        <v>89.99</v>
      </c>
      <c r="O177" s="48">
        <f>EOMONTH(B177,0)</f>
        <v>45657</v>
      </c>
      <c r="P177" s="49" t="str">
        <f>"Q"&amp;ROUNDUP(MONTH(B177)/3,0)&amp;"-"&amp;YEAR(B177)</f>
        <v>Q4-2024</v>
      </c>
      <c r="Q177" s="50">
        <f ca="1">TODAY()-B177</f>
        <v>669</v>
      </c>
      <c r="R177" s="50">
        <f>COUNTIF($C$2:C177,C177)</f>
        <v>3</v>
      </c>
      <c r="S177" s="50">
        <v>176</v>
      </c>
    </row>
    <row r="178" spans="1:19">
      <c r="A178" s="45" t="s">
        <v>354</v>
      </c>
      <c r="B178" s="46">
        <v>45655</v>
      </c>
      <c r="C178" s="45" t="s">
        <v>142</v>
      </c>
      <c r="D178" s="45" t="s">
        <v>143</v>
      </c>
      <c r="E178" s="45" t="s">
        <v>81</v>
      </c>
      <c r="F178" s="45" t="s">
        <v>82</v>
      </c>
      <c r="G178" s="45" t="s">
        <v>83</v>
      </c>
      <c r="H178" s="45">
        <v>5</v>
      </c>
      <c r="I178" s="47">
        <v>149.99</v>
      </c>
      <c r="J178" s="45" t="s">
        <v>57</v>
      </c>
      <c r="K178" s="45" t="s">
        <v>58</v>
      </c>
      <c r="L178" s="45" t="s">
        <v>64</v>
      </c>
      <c r="M178" s="46">
        <v>45347</v>
      </c>
      <c r="N178" s="47">
        <v>749.95</v>
      </c>
      <c r="O178" s="48">
        <f>EOMONTH(B178,0)</f>
        <v>45657</v>
      </c>
      <c r="P178" s="49" t="str">
        <f>"Q"&amp;ROUNDUP(MONTH(B178)/3,0)&amp;"-"&amp;YEAR(B178)</f>
        <v>Q4-2024</v>
      </c>
      <c r="Q178" s="50">
        <f ca="1">TODAY()-B178</f>
        <v>669</v>
      </c>
      <c r="R178" s="50">
        <f>COUNTIF($C$2:C178,C178)</f>
        <v>4</v>
      </c>
      <c r="S178" s="50">
        <v>177</v>
      </c>
    </row>
    <row r="179" spans="1:19">
      <c r="A179" s="45" t="s">
        <v>355</v>
      </c>
      <c r="B179" s="46">
        <v>45657</v>
      </c>
      <c r="C179" s="45" t="s">
        <v>123</v>
      </c>
      <c r="D179" s="45" t="s">
        <v>24</v>
      </c>
      <c r="E179" s="45" t="s">
        <v>98</v>
      </c>
      <c r="F179" s="45" t="s">
        <v>99</v>
      </c>
      <c r="G179" s="45" t="s">
        <v>56</v>
      </c>
      <c r="H179" s="45">
        <v>1</v>
      </c>
      <c r="I179" s="47">
        <v>899.99</v>
      </c>
      <c r="J179" s="45" t="s">
        <v>71</v>
      </c>
      <c r="K179" s="45" t="s">
        <v>77</v>
      </c>
      <c r="L179" s="45" t="s">
        <v>64</v>
      </c>
      <c r="M179" s="46">
        <v>45050</v>
      </c>
      <c r="N179" s="47">
        <v>899.99</v>
      </c>
      <c r="O179" s="48">
        <f>EOMONTH(B179,0)</f>
        <v>45657</v>
      </c>
      <c r="P179" s="49" t="str">
        <f>"Q"&amp;ROUNDUP(MONTH(B179)/3,0)&amp;"-"&amp;YEAR(B179)</f>
        <v>Q4-2024</v>
      </c>
      <c r="Q179" s="50">
        <f ca="1">TODAY()-B179</f>
        <v>667</v>
      </c>
      <c r="R179" s="50">
        <f>COUNTIF($C$2:C179,C179)</f>
        <v>10</v>
      </c>
      <c r="S179" s="50">
        <v>178</v>
      </c>
    </row>
    <row r="180" spans="1:19">
      <c r="A180" s="45" t="s">
        <v>356</v>
      </c>
      <c r="B180" s="46">
        <v>45660</v>
      </c>
      <c r="C180" s="45" t="s">
        <v>180</v>
      </c>
      <c r="D180" s="45" t="s">
        <v>181</v>
      </c>
      <c r="E180" s="45" t="s">
        <v>151</v>
      </c>
      <c r="F180" s="45" t="s">
        <v>152</v>
      </c>
      <c r="G180" s="45" t="s">
        <v>56</v>
      </c>
      <c r="H180" s="45">
        <v>2</v>
      </c>
      <c r="I180" s="47">
        <v>89.99</v>
      </c>
      <c r="J180" s="45" t="s">
        <v>63</v>
      </c>
      <c r="K180" s="45" t="s">
        <v>72</v>
      </c>
      <c r="L180" s="45" t="s">
        <v>64</v>
      </c>
      <c r="M180" s="46">
        <v>44564</v>
      </c>
      <c r="N180" s="47">
        <v>179.98</v>
      </c>
      <c r="O180" s="48">
        <f>EOMONTH(B180,0)</f>
        <v>45688</v>
      </c>
      <c r="P180" s="49" t="str">
        <f>"Q"&amp;ROUNDUP(MONTH(B180)/3,0)&amp;"-"&amp;YEAR(B180)</f>
        <v>Q1-2025</v>
      </c>
      <c r="Q180" s="50">
        <f ca="1">TODAY()-B180</f>
        <v>664</v>
      </c>
      <c r="R180" s="50">
        <f>COUNTIF($C$2:C180,C180)</f>
        <v>7</v>
      </c>
      <c r="S180" s="50">
        <v>179</v>
      </c>
    </row>
    <row r="181" spans="1:19">
      <c r="A181" s="45" t="s">
        <v>357</v>
      </c>
      <c r="B181" s="46">
        <v>45661</v>
      </c>
      <c r="C181" s="45" t="s">
        <v>358</v>
      </c>
      <c r="D181" s="45" t="s">
        <v>359</v>
      </c>
      <c r="E181" s="45" t="s">
        <v>98</v>
      </c>
      <c r="F181" s="45" t="s">
        <v>99</v>
      </c>
      <c r="G181" s="45" t="s">
        <v>56</v>
      </c>
      <c r="H181" s="45">
        <v>1</v>
      </c>
      <c r="I181" s="47">
        <v>899.99</v>
      </c>
      <c r="J181" s="45" t="s">
        <v>71</v>
      </c>
      <c r="K181" s="45" t="s">
        <v>77</v>
      </c>
      <c r="L181" s="45" t="s">
        <v>73</v>
      </c>
      <c r="M181" s="46">
        <v>44752</v>
      </c>
      <c r="N181" s="47">
        <v>899.99</v>
      </c>
      <c r="O181" s="48">
        <f>EOMONTH(B181,0)</f>
        <v>45688</v>
      </c>
      <c r="P181" s="49" t="str">
        <f>"Q"&amp;ROUNDUP(MONTH(B181)/3,0)&amp;"-"&amp;YEAR(B181)</f>
        <v>Q1-2025</v>
      </c>
      <c r="Q181" s="50">
        <f ca="1">TODAY()-B181</f>
        <v>663</v>
      </c>
      <c r="R181" s="50">
        <f>COUNTIF($C$2:C181,C181)</f>
        <v>1</v>
      </c>
      <c r="S181" s="50">
        <v>180</v>
      </c>
    </row>
    <row r="182" spans="1:19">
      <c r="A182" s="45" t="s">
        <v>360</v>
      </c>
      <c r="B182" s="46">
        <v>45663</v>
      </c>
      <c r="C182" s="45" t="s">
        <v>162</v>
      </c>
      <c r="D182" s="45" t="s">
        <v>163</v>
      </c>
      <c r="E182" s="45" t="s">
        <v>89</v>
      </c>
      <c r="F182" s="45" t="s">
        <v>90</v>
      </c>
      <c r="G182" s="45" t="s">
        <v>56</v>
      </c>
      <c r="H182" s="45">
        <v>5</v>
      </c>
      <c r="I182" s="47">
        <v>149.99</v>
      </c>
      <c r="J182" s="45" t="s">
        <v>71</v>
      </c>
      <c r="K182" s="45" t="s">
        <v>100</v>
      </c>
      <c r="L182" s="45" t="s">
        <v>64</v>
      </c>
      <c r="M182" s="46">
        <v>44824</v>
      </c>
      <c r="N182" s="47">
        <v>749.95</v>
      </c>
      <c r="O182" s="48">
        <f>EOMONTH(B182,0)</f>
        <v>45688</v>
      </c>
      <c r="P182" s="49" t="str">
        <f>"Q"&amp;ROUNDUP(MONTH(B182)/3,0)&amp;"-"&amp;YEAR(B182)</f>
        <v>Q1-2025</v>
      </c>
      <c r="Q182" s="50">
        <f ca="1">TODAY()-B182</f>
        <v>661</v>
      </c>
      <c r="R182" s="50">
        <f>COUNTIF($C$2:C182,C182)</f>
        <v>4</v>
      </c>
      <c r="S182" s="50">
        <v>181</v>
      </c>
    </row>
    <row r="183" spans="1:19">
      <c r="A183" s="45" t="s">
        <v>361</v>
      </c>
      <c r="B183" s="46">
        <v>45663</v>
      </c>
      <c r="C183" s="45" t="s">
        <v>79</v>
      </c>
      <c r="D183" s="45" t="s">
        <v>80</v>
      </c>
      <c r="E183" s="45" t="s">
        <v>139</v>
      </c>
      <c r="F183" s="45" t="s">
        <v>140</v>
      </c>
      <c r="G183" s="45" t="s">
        <v>83</v>
      </c>
      <c r="H183" s="45">
        <v>3</v>
      </c>
      <c r="I183" s="47">
        <v>299.99</v>
      </c>
      <c r="J183" s="45" t="s">
        <v>57</v>
      </c>
      <c r="K183" s="45" t="s">
        <v>72</v>
      </c>
      <c r="L183" s="45" t="s">
        <v>73</v>
      </c>
      <c r="M183" s="46">
        <v>44422</v>
      </c>
      <c r="N183" s="47">
        <v>899.97</v>
      </c>
      <c r="O183" s="48">
        <f>EOMONTH(B183,0)</f>
        <v>45688</v>
      </c>
      <c r="P183" s="49" t="str">
        <f>"Q"&amp;ROUNDUP(MONTH(B183)/3,0)&amp;"-"&amp;YEAR(B183)</f>
        <v>Q1-2025</v>
      </c>
      <c r="Q183" s="50">
        <f ca="1">TODAY()-B183</f>
        <v>661</v>
      </c>
      <c r="R183" s="50">
        <f>COUNTIF($C$2:C183,C183)</f>
        <v>7</v>
      </c>
      <c r="S183" s="50">
        <v>182</v>
      </c>
    </row>
    <row r="184" spans="1:19">
      <c r="A184" s="45" t="s">
        <v>362</v>
      </c>
      <c r="B184" s="46">
        <v>45666</v>
      </c>
      <c r="C184" s="45" t="s">
        <v>102</v>
      </c>
      <c r="D184" s="45" t="s">
        <v>103</v>
      </c>
      <c r="E184" s="45" t="s">
        <v>117</v>
      </c>
      <c r="F184" s="45" t="s">
        <v>118</v>
      </c>
      <c r="G184" s="45" t="s">
        <v>56</v>
      </c>
      <c r="H184" s="45">
        <v>3</v>
      </c>
      <c r="I184" s="47">
        <v>699.99</v>
      </c>
      <c r="J184" s="45" t="s">
        <v>63</v>
      </c>
      <c r="K184" s="45" t="s">
        <v>58</v>
      </c>
      <c r="L184" s="45" t="s">
        <v>64</v>
      </c>
      <c r="M184" s="46">
        <v>45105</v>
      </c>
      <c r="N184" s="47">
        <v>2099.9699999999998</v>
      </c>
      <c r="O184" s="48">
        <f>EOMONTH(B184,0)</f>
        <v>45688</v>
      </c>
      <c r="P184" s="49" t="str">
        <f>"Q"&amp;ROUNDUP(MONTH(B184)/3,0)&amp;"-"&amp;YEAR(B184)</f>
        <v>Q1-2025</v>
      </c>
      <c r="Q184" s="50">
        <f ca="1">TODAY()-B184</f>
        <v>658</v>
      </c>
      <c r="R184" s="50">
        <f>COUNTIF($C$2:C184,C184)</f>
        <v>6</v>
      </c>
      <c r="S184" s="50">
        <v>183</v>
      </c>
    </row>
    <row r="185" spans="1:19">
      <c r="A185" s="45" t="s">
        <v>363</v>
      </c>
      <c r="B185" s="46">
        <v>45667</v>
      </c>
      <c r="C185" s="45" t="s">
        <v>142</v>
      </c>
      <c r="D185" s="45" t="s">
        <v>143</v>
      </c>
      <c r="E185" s="45" t="s">
        <v>159</v>
      </c>
      <c r="F185" s="45" t="s">
        <v>160</v>
      </c>
      <c r="G185" s="45" t="s">
        <v>83</v>
      </c>
      <c r="H185" s="45">
        <v>5</v>
      </c>
      <c r="I185" s="47">
        <v>199.99</v>
      </c>
      <c r="J185" s="45" t="s">
        <v>71</v>
      </c>
      <c r="K185" s="45" t="s">
        <v>58</v>
      </c>
      <c r="L185" s="45" t="s">
        <v>73</v>
      </c>
      <c r="M185" s="46">
        <v>44633</v>
      </c>
      <c r="N185" s="47">
        <v>999.95</v>
      </c>
      <c r="O185" s="48">
        <f>EOMONTH(B185,0)</f>
        <v>45688</v>
      </c>
      <c r="P185" s="49" t="str">
        <f>"Q"&amp;ROUNDUP(MONTH(B185)/3,0)&amp;"-"&amp;YEAR(B185)</f>
        <v>Q1-2025</v>
      </c>
      <c r="Q185" s="50">
        <f ca="1">TODAY()-B185</f>
        <v>657</v>
      </c>
      <c r="R185" s="50">
        <f>COUNTIF($C$2:C185,C185)</f>
        <v>5</v>
      </c>
      <c r="S185" s="50">
        <v>184</v>
      </c>
    </row>
    <row r="186" spans="1:19">
      <c r="A186" s="45" t="s">
        <v>364</v>
      </c>
      <c r="B186" s="46">
        <v>45667</v>
      </c>
      <c r="C186" s="45" t="s">
        <v>129</v>
      </c>
      <c r="D186" s="45" t="s">
        <v>130</v>
      </c>
      <c r="E186" s="45" t="s">
        <v>54</v>
      </c>
      <c r="F186" s="45" t="s">
        <v>55</v>
      </c>
      <c r="G186" s="45" t="s">
        <v>56</v>
      </c>
      <c r="H186" s="45">
        <v>5</v>
      </c>
      <c r="I186" s="47">
        <v>249.99</v>
      </c>
      <c r="J186" s="45" t="s">
        <v>63</v>
      </c>
      <c r="K186" s="45" t="s">
        <v>72</v>
      </c>
      <c r="L186" s="45" t="s">
        <v>59</v>
      </c>
      <c r="M186" s="46">
        <v>45330</v>
      </c>
      <c r="N186" s="47">
        <v>1249.95</v>
      </c>
      <c r="O186" s="48">
        <f>EOMONTH(B186,0)</f>
        <v>45688</v>
      </c>
      <c r="P186" s="49" t="str">
        <f>"Q"&amp;ROUNDUP(MONTH(B186)/3,0)&amp;"-"&amp;YEAR(B186)</f>
        <v>Q1-2025</v>
      </c>
      <c r="Q186" s="50">
        <f ca="1">TODAY()-B186</f>
        <v>657</v>
      </c>
      <c r="R186" s="50">
        <f>COUNTIF($C$2:C186,C186)</f>
        <v>2</v>
      </c>
      <c r="S186" s="50">
        <v>185</v>
      </c>
    </row>
    <row r="187" spans="1:19">
      <c r="A187" s="45" t="s">
        <v>365</v>
      </c>
      <c r="B187" s="46">
        <v>45668</v>
      </c>
      <c r="C187" s="45" t="s">
        <v>171</v>
      </c>
      <c r="D187" s="45" t="s">
        <v>172</v>
      </c>
      <c r="E187" s="45" t="s">
        <v>89</v>
      </c>
      <c r="F187" s="45" t="s">
        <v>90</v>
      </c>
      <c r="G187" s="45" t="s">
        <v>56</v>
      </c>
      <c r="H187" s="45">
        <v>4</v>
      </c>
      <c r="I187" s="47">
        <v>149.99</v>
      </c>
      <c r="J187" s="45" t="s">
        <v>94</v>
      </c>
      <c r="K187" s="45" t="s">
        <v>100</v>
      </c>
      <c r="L187" s="45" t="s">
        <v>73</v>
      </c>
      <c r="M187" s="46">
        <v>44536</v>
      </c>
      <c r="N187" s="47">
        <v>599.96</v>
      </c>
      <c r="O187" s="48">
        <f>EOMONTH(B187,0)</f>
        <v>45688</v>
      </c>
      <c r="P187" s="49" t="str">
        <f>"Q"&amp;ROUNDUP(MONTH(B187)/3,0)&amp;"-"&amp;YEAR(B187)</f>
        <v>Q1-2025</v>
      </c>
      <c r="Q187" s="50">
        <f ca="1">TODAY()-B187</f>
        <v>656</v>
      </c>
      <c r="R187" s="50">
        <f>COUNTIF($C$2:C187,C187)</f>
        <v>4</v>
      </c>
      <c r="S187" s="50">
        <v>186</v>
      </c>
    </row>
    <row r="188" spans="1:19">
      <c r="A188" s="45" t="s">
        <v>366</v>
      </c>
      <c r="B188" s="46">
        <v>45668</v>
      </c>
      <c r="C188" s="45" t="s">
        <v>115</v>
      </c>
      <c r="D188" s="45" t="s">
        <v>116</v>
      </c>
      <c r="E188" s="45" t="s">
        <v>117</v>
      </c>
      <c r="F188" s="45" t="s">
        <v>118</v>
      </c>
      <c r="G188" s="45" t="s">
        <v>56</v>
      </c>
      <c r="H188" s="45">
        <v>3</v>
      </c>
      <c r="I188" s="47">
        <v>699.99</v>
      </c>
      <c r="J188" s="45" t="s">
        <v>57</v>
      </c>
      <c r="K188" s="45" t="s">
        <v>77</v>
      </c>
      <c r="L188" s="45" t="s">
        <v>64</v>
      </c>
      <c r="M188" s="46">
        <v>44602</v>
      </c>
      <c r="N188" s="47">
        <v>2099.9699999999998</v>
      </c>
      <c r="O188" s="48">
        <f>EOMONTH(B188,0)</f>
        <v>45688</v>
      </c>
      <c r="P188" s="49" t="str">
        <f>"Q"&amp;ROUNDUP(MONTH(B188)/3,0)&amp;"-"&amp;YEAR(B188)</f>
        <v>Q1-2025</v>
      </c>
      <c r="Q188" s="50">
        <f ca="1">TODAY()-B188</f>
        <v>656</v>
      </c>
      <c r="R188" s="50">
        <f>COUNTIF($C$2:C188,C188)</f>
        <v>2</v>
      </c>
      <c r="S188" s="50">
        <v>187</v>
      </c>
    </row>
    <row r="189" spans="1:19">
      <c r="A189" s="45" t="s">
        <v>367</v>
      </c>
      <c r="B189" s="46">
        <v>45670</v>
      </c>
      <c r="C189" s="45" t="s">
        <v>326</v>
      </c>
      <c r="D189" s="45" t="s">
        <v>327</v>
      </c>
      <c r="E189" s="45" t="s">
        <v>148</v>
      </c>
      <c r="F189" s="45" t="s">
        <v>149</v>
      </c>
      <c r="G189" s="45" t="s">
        <v>70</v>
      </c>
      <c r="H189" s="45">
        <v>1</v>
      </c>
      <c r="I189" s="47">
        <v>79.989999999999995</v>
      </c>
      <c r="J189" s="45" t="s">
        <v>63</v>
      </c>
      <c r="K189" s="45" t="s">
        <v>72</v>
      </c>
      <c r="L189" s="45" t="s">
        <v>59</v>
      </c>
      <c r="M189" s="46">
        <v>45322</v>
      </c>
      <c r="N189" s="47">
        <v>79.989999999999995</v>
      </c>
      <c r="O189" s="48">
        <f>EOMONTH(B189,0)</f>
        <v>45688</v>
      </c>
      <c r="P189" s="49" t="str">
        <f>"Q"&amp;ROUNDUP(MONTH(B189)/3,0)&amp;"-"&amp;YEAR(B189)</f>
        <v>Q1-2025</v>
      </c>
      <c r="Q189" s="50">
        <f ca="1">TODAY()-B189</f>
        <v>654</v>
      </c>
      <c r="R189" s="50">
        <f>COUNTIF($C$2:C189,C189)</f>
        <v>2</v>
      </c>
      <c r="S189" s="50">
        <v>188</v>
      </c>
    </row>
    <row r="190" spans="1:19">
      <c r="A190" s="45" t="s">
        <v>368</v>
      </c>
      <c r="B190" s="46">
        <v>45670</v>
      </c>
      <c r="C190" s="45" t="s">
        <v>123</v>
      </c>
      <c r="D190" s="45" t="s">
        <v>24</v>
      </c>
      <c r="E190" s="45" t="s">
        <v>139</v>
      </c>
      <c r="F190" s="45" t="s">
        <v>140</v>
      </c>
      <c r="G190" s="45" t="s">
        <v>83</v>
      </c>
      <c r="H190" s="45">
        <v>1</v>
      </c>
      <c r="I190" s="47">
        <v>299.99</v>
      </c>
      <c r="J190" s="45" t="s">
        <v>63</v>
      </c>
      <c r="K190" s="45" t="s">
        <v>77</v>
      </c>
      <c r="L190" s="45" t="s">
        <v>59</v>
      </c>
      <c r="M190" s="46">
        <v>44436</v>
      </c>
      <c r="N190" s="47">
        <v>299.99</v>
      </c>
      <c r="O190" s="48">
        <f>EOMONTH(B190,0)</f>
        <v>45688</v>
      </c>
      <c r="P190" s="49" t="str">
        <f>"Q"&amp;ROUNDUP(MONTH(B190)/3,0)&amp;"-"&amp;YEAR(B190)</f>
        <v>Q1-2025</v>
      </c>
      <c r="Q190" s="50">
        <f ca="1">TODAY()-B190</f>
        <v>654</v>
      </c>
      <c r="R190" s="50">
        <f>COUNTIF($C$2:C190,C190)</f>
        <v>11</v>
      </c>
      <c r="S190" s="50">
        <v>189</v>
      </c>
    </row>
    <row r="191" spans="1:19">
      <c r="A191" s="45" t="s">
        <v>369</v>
      </c>
      <c r="B191" s="46">
        <v>45671</v>
      </c>
      <c r="C191" s="45" t="s">
        <v>191</v>
      </c>
      <c r="D191" s="45" t="s">
        <v>192</v>
      </c>
      <c r="E191" s="45" t="s">
        <v>54</v>
      </c>
      <c r="F191" s="45" t="s">
        <v>55</v>
      </c>
      <c r="G191" s="45" t="s">
        <v>56</v>
      </c>
      <c r="H191" s="45">
        <v>4</v>
      </c>
      <c r="I191" s="47">
        <v>249.99</v>
      </c>
      <c r="J191" s="45" t="s">
        <v>63</v>
      </c>
      <c r="K191" s="45" t="s">
        <v>77</v>
      </c>
      <c r="L191" s="45" t="s">
        <v>64</v>
      </c>
      <c r="M191" s="46">
        <v>44460</v>
      </c>
      <c r="N191" s="47">
        <v>999.96</v>
      </c>
      <c r="O191" s="48">
        <f>EOMONTH(B191,0)</f>
        <v>45688</v>
      </c>
      <c r="P191" s="49" t="str">
        <f>"Q"&amp;ROUNDUP(MONTH(B191)/3,0)&amp;"-"&amp;YEAR(B191)</f>
        <v>Q1-2025</v>
      </c>
      <c r="Q191" s="50">
        <f ca="1">TODAY()-B191</f>
        <v>653</v>
      </c>
      <c r="R191" s="50">
        <f>COUNTIF($C$2:C191,C191)</f>
        <v>5</v>
      </c>
      <c r="S191" s="50">
        <v>190</v>
      </c>
    </row>
    <row r="192" spans="1:19">
      <c r="A192" s="45" t="s">
        <v>370</v>
      </c>
      <c r="B192" s="46">
        <v>45671</v>
      </c>
      <c r="C192" s="45" t="s">
        <v>154</v>
      </c>
      <c r="D192" s="45" t="s">
        <v>155</v>
      </c>
      <c r="E192" s="45" t="s">
        <v>89</v>
      </c>
      <c r="F192" s="45" t="s">
        <v>90</v>
      </c>
      <c r="G192" s="45" t="s">
        <v>56</v>
      </c>
      <c r="H192" s="45">
        <v>2</v>
      </c>
      <c r="I192" s="47">
        <v>149.99</v>
      </c>
      <c r="J192" s="45" t="s">
        <v>57</v>
      </c>
      <c r="K192" s="45" t="s">
        <v>77</v>
      </c>
      <c r="L192" s="45" t="s">
        <v>73</v>
      </c>
      <c r="M192" s="46">
        <v>44913</v>
      </c>
      <c r="N192" s="47">
        <v>299.98</v>
      </c>
      <c r="O192" s="48">
        <f>EOMONTH(B192,0)</f>
        <v>45688</v>
      </c>
      <c r="P192" s="49" t="str">
        <f>"Q"&amp;ROUNDUP(MONTH(B192)/3,0)&amp;"-"&amp;YEAR(B192)</f>
        <v>Q1-2025</v>
      </c>
      <c r="Q192" s="50">
        <f ca="1">TODAY()-B192</f>
        <v>653</v>
      </c>
      <c r="R192" s="50">
        <f>COUNTIF($C$2:C192,C192)</f>
        <v>6</v>
      </c>
      <c r="S192" s="50">
        <v>191</v>
      </c>
    </row>
    <row r="193" spans="1:19">
      <c r="A193" s="45" t="s">
        <v>371</v>
      </c>
      <c r="B193" s="46">
        <v>45671</v>
      </c>
      <c r="C193" s="45" t="s">
        <v>267</v>
      </c>
      <c r="D193" s="45" t="s">
        <v>268</v>
      </c>
      <c r="E193" s="45" t="s">
        <v>139</v>
      </c>
      <c r="F193" s="45" t="s">
        <v>140</v>
      </c>
      <c r="G193" s="45" t="s">
        <v>83</v>
      </c>
      <c r="H193" s="45">
        <v>3</v>
      </c>
      <c r="I193" s="47">
        <v>299.99</v>
      </c>
      <c r="J193" s="45" t="s">
        <v>63</v>
      </c>
      <c r="K193" s="45" t="s">
        <v>72</v>
      </c>
      <c r="L193" s="45" t="s">
        <v>59</v>
      </c>
      <c r="M193" s="46">
        <v>45204</v>
      </c>
      <c r="N193" s="47">
        <v>899.97</v>
      </c>
      <c r="O193" s="48">
        <f>EOMONTH(B193,0)</f>
        <v>45688</v>
      </c>
      <c r="P193" s="49" t="str">
        <f>"Q"&amp;ROUNDUP(MONTH(B193)/3,0)&amp;"-"&amp;YEAR(B193)</f>
        <v>Q1-2025</v>
      </c>
      <c r="Q193" s="50">
        <f ca="1">TODAY()-B193</f>
        <v>653</v>
      </c>
      <c r="R193" s="50">
        <f>COUNTIF($C$2:C193,C193)</f>
        <v>5</v>
      </c>
      <c r="S193" s="50">
        <v>192</v>
      </c>
    </row>
    <row r="194" spans="1:19">
      <c r="A194" s="45" t="s">
        <v>372</v>
      </c>
      <c r="B194" s="46">
        <v>45673</v>
      </c>
      <c r="C194" s="45" t="s">
        <v>259</v>
      </c>
      <c r="D194" s="45" t="s">
        <v>260</v>
      </c>
      <c r="E194" s="45" t="s">
        <v>159</v>
      </c>
      <c r="F194" s="45" t="s">
        <v>160</v>
      </c>
      <c r="G194" s="45" t="s">
        <v>83</v>
      </c>
      <c r="H194" s="45">
        <v>4</v>
      </c>
      <c r="I194" s="47">
        <v>199.99</v>
      </c>
      <c r="J194" s="45" t="s">
        <v>94</v>
      </c>
      <c r="K194" s="45" t="s">
        <v>72</v>
      </c>
      <c r="L194" s="45" t="s">
        <v>73</v>
      </c>
      <c r="M194" s="46">
        <v>44544</v>
      </c>
      <c r="N194" s="47">
        <v>799.96</v>
      </c>
      <c r="O194" s="48">
        <f>EOMONTH(B194,0)</f>
        <v>45688</v>
      </c>
      <c r="P194" s="49" t="str">
        <f>"Q"&amp;ROUNDUP(MONTH(B194)/3,0)&amp;"-"&amp;YEAR(B194)</f>
        <v>Q1-2025</v>
      </c>
      <c r="Q194" s="50">
        <f ca="1">TODAY()-B194</f>
        <v>651</v>
      </c>
      <c r="R194" s="50">
        <f>COUNTIF($C$2:C194,C194)</f>
        <v>5</v>
      </c>
      <c r="S194" s="50">
        <v>193</v>
      </c>
    </row>
    <row r="195" spans="1:19">
      <c r="A195" s="45" t="s">
        <v>373</v>
      </c>
      <c r="B195" s="46">
        <v>45673</v>
      </c>
      <c r="C195" s="45" t="s">
        <v>244</v>
      </c>
      <c r="D195" s="45" t="s">
        <v>245</v>
      </c>
      <c r="E195" s="45" t="s">
        <v>139</v>
      </c>
      <c r="F195" s="45" t="s">
        <v>140</v>
      </c>
      <c r="G195" s="45" t="s">
        <v>83</v>
      </c>
      <c r="H195" s="45">
        <v>5</v>
      </c>
      <c r="I195" s="47">
        <v>299.99</v>
      </c>
      <c r="J195" s="45" t="s">
        <v>94</v>
      </c>
      <c r="K195" s="45" t="s">
        <v>58</v>
      </c>
      <c r="L195" s="45" t="s">
        <v>59</v>
      </c>
      <c r="M195" s="46">
        <v>44431</v>
      </c>
      <c r="N195" s="47">
        <v>1499.95</v>
      </c>
      <c r="O195" s="48">
        <f>EOMONTH(B195,0)</f>
        <v>45688</v>
      </c>
      <c r="P195" s="49" t="str">
        <f>"Q"&amp;ROUNDUP(MONTH(B195)/3,0)&amp;"-"&amp;YEAR(B195)</f>
        <v>Q1-2025</v>
      </c>
      <c r="Q195" s="50">
        <f ca="1">TODAY()-B195</f>
        <v>651</v>
      </c>
      <c r="R195" s="50">
        <f>COUNTIF($C$2:C195,C195)</f>
        <v>3</v>
      </c>
      <c r="S195" s="50">
        <v>194</v>
      </c>
    </row>
    <row r="196" spans="1:19">
      <c r="A196" s="45" t="s">
        <v>374</v>
      </c>
      <c r="B196" s="46">
        <v>45673</v>
      </c>
      <c r="C196" s="45" t="s">
        <v>96</v>
      </c>
      <c r="D196" s="45" t="s">
        <v>97</v>
      </c>
      <c r="E196" s="45" t="s">
        <v>81</v>
      </c>
      <c r="F196" s="45" t="s">
        <v>82</v>
      </c>
      <c r="G196" s="45" t="s">
        <v>83</v>
      </c>
      <c r="H196" s="45">
        <v>3</v>
      </c>
      <c r="I196" s="47">
        <v>149.99</v>
      </c>
      <c r="J196" s="45" t="s">
        <v>63</v>
      </c>
      <c r="K196" s="45" t="s">
        <v>100</v>
      </c>
      <c r="L196" s="45" t="s">
        <v>73</v>
      </c>
      <c r="M196" s="46">
        <v>44395</v>
      </c>
      <c r="N196" s="47">
        <v>449.97</v>
      </c>
      <c r="O196" s="48">
        <f>EOMONTH(B196,0)</f>
        <v>45688</v>
      </c>
      <c r="P196" s="49" t="str">
        <f>"Q"&amp;ROUNDUP(MONTH(B196)/3,0)&amp;"-"&amp;YEAR(B196)</f>
        <v>Q1-2025</v>
      </c>
      <c r="Q196" s="50">
        <f ca="1">TODAY()-B196</f>
        <v>651</v>
      </c>
      <c r="R196" s="50">
        <f>COUNTIF($C$2:C196,C196)</f>
        <v>4</v>
      </c>
      <c r="S196" s="50">
        <v>195</v>
      </c>
    </row>
    <row r="197" spans="1:19">
      <c r="A197" s="45" t="s">
        <v>375</v>
      </c>
      <c r="B197" s="46">
        <v>45676</v>
      </c>
      <c r="C197" s="45" t="s">
        <v>162</v>
      </c>
      <c r="D197" s="45" t="s">
        <v>163</v>
      </c>
      <c r="E197" s="45" t="s">
        <v>68</v>
      </c>
      <c r="F197" s="45" t="s">
        <v>69</v>
      </c>
      <c r="G197" s="45" t="s">
        <v>70</v>
      </c>
      <c r="H197" s="45">
        <v>5</v>
      </c>
      <c r="I197" s="47">
        <v>59.99</v>
      </c>
      <c r="J197" s="45" t="s">
        <v>94</v>
      </c>
      <c r="K197" s="45" t="s">
        <v>100</v>
      </c>
      <c r="L197" s="45" t="s">
        <v>59</v>
      </c>
      <c r="M197" s="46">
        <v>44642</v>
      </c>
      <c r="N197" s="47">
        <v>299.95</v>
      </c>
      <c r="O197" s="48">
        <f>EOMONTH(B197,0)</f>
        <v>45688</v>
      </c>
      <c r="P197" s="49" t="str">
        <f>"Q"&amp;ROUNDUP(MONTH(B197)/3,0)&amp;"-"&amp;YEAR(B197)</f>
        <v>Q1-2025</v>
      </c>
      <c r="Q197" s="50">
        <f ca="1">TODAY()-B197</f>
        <v>648</v>
      </c>
      <c r="R197" s="50">
        <f>COUNTIF($C$2:C197,C197)</f>
        <v>5</v>
      </c>
      <c r="S197" s="50">
        <v>196</v>
      </c>
    </row>
    <row r="198" spans="1:19">
      <c r="A198" s="45" t="s">
        <v>376</v>
      </c>
      <c r="B198" s="46">
        <v>45682</v>
      </c>
      <c r="C198" s="45" t="s">
        <v>105</v>
      </c>
      <c r="D198" s="45" t="s">
        <v>106</v>
      </c>
      <c r="E198" s="45" t="s">
        <v>68</v>
      </c>
      <c r="F198" s="45" t="s">
        <v>69</v>
      </c>
      <c r="G198" s="45" t="s">
        <v>70</v>
      </c>
      <c r="H198" s="45">
        <v>4</v>
      </c>
      <c r="I198" s="47">
        <v>59.99</v>
      </c>
      <c r="J198" s="45" t="s">
        <v>94</v>
      </c>
      <c r="K198" s="45" t="s">
        <v>100</v>
      </c>
      <c r="L198" s="45" t="s">
        <v>73</v>
      </c>
      <c r="M198" s="46">
        <v>44564</v>
      </c>
      <c r="N198" s="47">
        <v>239.96</v>
      </c>
      <c r="O198" s="48">
        <f>EOMONTH(B198,0)</f>
        <v>45688</v>
      </c>
      <c r="P198" s="49" t="str">
        <f>"Q"&amp;ROUNDUP(MONTH(B198)/3,0)&amp;"-"&amp;YEAR(B198)</f>
        <v>Q1-2025</v>
      </c>
      <c r="Q198" s="50">
        <f ca="1">TODAY()-B198</f>
        <v>642</v>
      </c>
      <c r="R198" s="50">
        <f>COUNTIF($C$2:C198,C198)</f>
        <v>4</v>
      </c>
      <c r="S198" s="50">
        <v>197</v>
      </c>
    </row>
    <row r="199" spans="1:19">
      <c r="A199" s="45" t="s">
        <v>377</v>
      </c>
      <c r="B199" s="46">
        <v>45683</v>
      </c>
      <c r="C199" s="45" t="s">
        <v>85</v>
      </c>
      <c r="D199" s="45" t="s">
        <v>86</v>
      </c>
      <c r="E199" s="45" t="s">
        <v>54</v>
      </c>
      <c r="F199" s="45" t="s">
        <v>55</v>
      </c>
      <c r="G199" s="45" t="s">
        <v>56</v>
      </c>
      <c r="H199" s="45">
        <v>4</v>
      </c>
      <c r="I199" s="47">
        <v>249.99</v>
      </c>
      <c r="J199" s="45" t="s">
        <v>94</v>
      </c>
      <c r="K199" s="45" t="s">
        <v>58</v>
      </c>
      <c r="L199" s="45" t="s">
        <v>64</v>
      </c>
      <c r="M199" s="46">
        <v>45217</v>
      </c>
      <c r="N199" s="47">
        <v>999.96</v>
      </c>
      <c r="O199" s="48">
        <f>EOMONTH(B199,0)</f>
        <v>45688</v>
      </c>
      <c r="P199" s="49" t="str">
        <f>"Q"&amp;ROUNDUP(MONTH(B199)/3,0)&amp;"-"&amp;YEAR(B199)</f>
        <v>Q1-2025</v>
      </c>
      <c r="Q199" s="50">
        <f ca="1">TODAY()-B199</f>
        <v>641</v>
      </c>
      <c r="R199" s="50">
        <f>COUNTIF($C$2:C199,C199)</f>
        <v>5</v>
      </c>
      <c r="S199" s="50">
        <v>198</v>
      </c>
    </row>
    <row r="200" spans="1:19">
      <c r="A200" s="45" t="s">
        <v>378</v>
      </c>
      <c r="B200" s="46">
        <v>45686</v>
      </c>
      <c r="C200" s="45" t="s">
        <v>285</v>
      </c>
      <c r="D200" s="45" t="s">
        <v>286</v>
      </c>
      <c r="E200" s="45" t="s">
        <v>98</v>
      </c>
      <c r="F200" s="45" t="s">
        <v>99</v>
      </c>
      <c r="G200" s="45" t="s">
        <v>56</v>
      </c>
      <c r="H200" s="45">
        <v>4</v>
      </c>
      <c r="I200" s="47">
        <v>899.99</v>
      </c>
      <c r="J200" s="45" t="s">
        <v>71</v>
      </c>
      <c r="K200" s="45" t="s">
        <v>58</v>
      </c>
      <c r="L200" s="45" t="s">
        <v>59</v>
      </c>
      <c r="M200" s="46">
        <v>44734</v>
      </c>
      <c r="N200" s="47">
        <v>3599.96</v>
      </c>
      <c r="O200" s="48">
        <f>EOMONTH(B200,0)</f>
        <v>45688</v>
      </c>
      <c r="P200" s="49" t="str">
        <f>"Q"&amp;ROUNDUP(MONTH(B200)/3,0)&amp;"-"&amp;YEAR(B200)</f>
        <v>Q1-2025</v>
      </c>
      <c r="Q200" s="50">
        <f ca="1">TODAY()-B200</f>
        <v>638</v>
      </c>
      <c r="R200" s="50">
        <f>COUNTIF($C$2:C200,C200)</f>
        <v>3</v>
      </c>
      <c r="S200" s="50">
        <v>199</v>
      </c>
    </row>
    <row r="201" spans="1:19">
      <c r="A201" s="45" t="s">
        <v>379</v>
      </c>
      <c r="B201" s="46">
        <v>45686</v>
      </c>
      <c r="C201" s="45" t="s">
        <v>123</v>
      </c>
      <c r="D201" s="45" t="s">
        <v>24</v>
      </c>
      <c r="E201" s="45" t="s">
        <v>139</v>
      </c>
      <c r="F201" s="45" t="s">
        <v>140</v>
      </c>
      <c r="G201" s="45" t="s">
        <v>83</v>
      </c>
      <c r="H201" s="45">
        <v>3</v>
      </c>
      <c r="I201" s="47">
        <v>299.99</v>
      </c>
      <c r="J201" s="45" t="s">
        <v>94</v>
      </c>
      <c r="K201" s="45" t="s">
        <v>87</v>
      </c>
      <c r="L201" s="45" t="s">
        <v>73</v>
      </c>
      <c r="M201" s="46">
        <v>44952</v>
      </c>
      <c r="N201" s="47">
        <v>899.97</v>
      </c>
      <c r="O201" s="48">
        <f>EOMONTH(B201,0)</f>
        <v>45688</v>
      </c>
      <c r="P201" s="49" t="str">
        <f>"Q"&amp;ROUNDUP(MONTH(B201)/3,0)&amp;"-"&amp;YEAR(B201)</f>
        <v>Q1-2025</v>
      </c>
      <c r="Q201" s="50">
        <f ca="1">TODAY()-B201</f>
        <v>638</v>
      </c>
      <c r="R201" s="50">
        <f>COUNTIF($C$2:C201,C201)</f>
        <v>12</v>
      </c>
      <c r="S201" s="50">
        <v>200</v>
      </c>
    </row>
    <row r="202" spans="1:19">
      <c r="A202" s="45" t="s">
        <v>380</v>
      </c>
      <c r="B202" s="46">
        <v>45686</v>
      </c>
      <c r="C202" s="45" t="s">
        <v>326</v>
      </c>
      <c r="D202" s="45" t="s">
        <v>327</v>
      </c>
      <c r="E202" s="45" t="s">
        <v>117</v>
      </c>
      <c r="F202" s="45" t="s">
        <v>118</v>
      </c>
      <c r="G202" s="45" t="s">
        <v>56</v>
      </c>
      <c r="H202" s="45">
        <v>2</v>
      </c>
      <c r="I202" s="47">
        <v>699.99</v>
      </c>
      <c r="J202" s="45" t="s">
        <v>94</v>
      </c>
      <c r="K202" s="45" t="s">
        <v>58</v>
      </c>
      <c r="L202" s="45" t="s">
        <v>64</v>
      </c>
      <c r="M202" s="46">
        <v>44681</v>
      </c>
      <c r="N202" s="47">
        <v>1399.98</v>
      </c>
      <c r="O202" s="48">
        <f>EOMONTH(B202,0)</f>
        <v>45688</v>
      </c>
      <c r="P202" s="49" t="str">
        <f>"Q"&amp;ROUNDUP(MONTH(B202)/3,0)&amp;"-"&amp;YEAR(B202)</f>
        <v>Q1-2025</v>
      </c>
      <c r="Q202" s="50">
        <f ca="1">TODAY()-B202</f>
        <v>638</v>
      </c>
      <c r="R202" s="50">
        <f>COUNTIF($C$2:C202,C202)</f>
        <v>3</v>
      </c>
      <c r="S202" s="50">
        <v>201</v>
      </c>
    </row>
    <row r="203" spans="1:19">
      <c r="A203" s="45" t="s">
        <v>381</v>
      </c>
      <c r="B203" s="46">
        <v>45688</v>
      </c>
      <c r="C203" s="45" t="s">
        <v>102</v>
      </c>
      <c r="D203" s="45" t="s">
        <v>103</v>
      </c>
      <c r="E203" s="45" t="s">
        <v>117</v>
      </c>
      <c r="F203" s="45" t="s">
        <v>118</v>
      </c>
      <c r="G203" s="45" t="s">
        <v>56</v>
      </c>
      <c r="H203" s="45">
        <v>4</v>
      </c>
      <c r="I203" s="47">
        <v>699.99</v>
      </c>
      <c r="J203" s="45" t="s">
        <v>94</v>
      </c>
      <c r="K203" s="45" t="s">
        <v>87</v>
      </c>
      <c r="L203" s="45" t="s">
        <v>64</v>
      </c>
      <c r="M203" s="46">
        <v>44692</v>
      </c>
      <c r="N203" s="47">
        <v>2799.96</v>
      </c>
      <c r="O203" s="48">
        <f>EOMONTH(B203,0)</f>
        <v>45688</v>
      </c>
      <c r="P203" s="49" t="str">
        <f>"Q"&amp;ROUNDUP(MONTH(B203)/3,0)&amp;"-"&amp;YEAR(B203)</f>
        <v>Q1-2025</v>
      </c>
      <c r="Q203" s="50">
        <f ca="1">TODAY()-B203</f>
        <v>636</v>
      </c>
      <c r="R203" s="50">
        <f>COUNTIF($C$2:C203,C203)</f>
        <v>7</v>
      </c>
      <c r="S203" s="50">
        <v>202</v>
      </c>
    </row>
    <row r="204" spans="1:19">
      <c r="A204" s="45" t="s">
        <v>382</v>
      </c>
      <c r="B204" s="46">
        <v>45688</v>
      </c>
      <c r="C204" s="45" t="s">
        <v>157</v>
      </c>
      <c r="D204" s="45" t="s">
        <v>26</v>
      </c>
      <c r="E204" s="45" t="s">
        <v>151</v>
      </c>
      <c r="F204" s="45" t="s">
        <v>152</v>
      </c>
      <c r="G204" s="45" t="s">
        <v>56</v>
      </c>
      <c r="H204" s="45">
        <v>2</v>
      </c>
      <c r="I204" s="47">
        <v>89.99</v>
      </c>
      <c r="J204" s="45" t="s">
        <v>94</v>
      </c>
      <c r="K204" s="45" t="s">
        <v>72</v>
      </c>
      <c r="L204" s="45" t="s">
        <v>59</v>
      </c>
      <c r="M204" s="46">
        <v>44777</v>
      </c>
      <c r="N204" s="47">
        <v>179.98</v>
      </c>
      <c r="O204" s="48">
        <f>EOMONTH(B204,0)</f>
        <v>45688</v>
      </c>
      <c r="P204" s="49" t="str">
        <f>"Q"&amp;ROUNDUP(MONTH(B204)/3,0)&amp;"-"&amp;YEAR(B204)</f>
        <v>Q1-2025</v>
      </c>
      <c r="Q204" s="50">
        <f ca="1">TODAY()-B204</f>
        <v>636</v>
      </c>
      <c r="R204" s="50">
        <f>COUNTIF($C$2:C204,C204)</f>
        <v>4</v>
      </c>
      <c r="S204" s="50">
        <v>203</v>
      </c>
    </row>
    <row r="205" spans="1:19">
      <c r="A205" s="45" t="s">
        <v>383</v>
      </c>
      <c r="B205" s="46">
        <v>45688</v>
      </c>
      <c r="C205" s="45" t="s">
        <v>79</v>
      </c>
      <c r="D205" s="45" t="s">
        <v>80</v>
      </c>
      <c r="E205" s="45" t="s">
        <v>151</v>
      </c>
      <c r="F205" s="45" t="s">
        <v>152</v>
      </c>
      <c r="G205" s="45" t="s">
        <v>56</v>
      </c>
      <c r="H205" s="45">
        <v>3</v>
      </c>
      <c r="I205" s="47">
        <v>89.99</v>
      </c>
      <c r="J205" s="45" t="s">
        <v>94</v>
      </c>
      <c r="K205" s="45" t="s">
        <v>72</v>
      </c>
      <c r="L205" s="45" t="s">
        <v>64</v>
      </c>
      <c r="M205" s="46">
        <v>45307</v>
      </c>
      <c r="N205" s="47">
        <v>269.97000000000003</v>
      </c>
      <c r="O205" s="48">
        <f>EOMONTH(B205,0)</f>
        <v>45688</v>
      </c>
      <c r="P205" s="49" t="str">
        <f>"Q"&amp;ROUNDUP(MONTH(B205)/3,0)&amp;"-"&amp;YEAR(B205)</f>
        <v>Q1-2025</v>
      </c>
      <c r="Q205" s="50">
        <f ca="1">TODAY()-B205</f>
        <v>636</v>
      </c>
      <c r="R205" s="50">
        <f>COUNTIF($C$2:C205,C205)</f>
        <v>8</v>
      </c>
      <c r="S205" s="50">
        <v>204</v>
      </c>
    </row>
    <row r="206" spans="1:19">
      <c r="A206" s="45" t="s">
        <v>384</v>
      </c>
      <c r="B206" s="46">
        <v>45692</v>
      </c>
      <c r="C206" s="45" t="s">
        <v>358</v>
      </c>
      <c r="D206" s="45" t="s">
        <v>359</v>
      </c>
      <c r="E206" s="45" t="s">
        <v>68</v>
      </c>
      <c r="F206" s="45" t="s">
        <v>69</v>
      </c>
      <c r="G206" s="45" t="s">
        <v>70</v>
      </c>
      <c r="H206" s="45">
        <v>1</v>
      </c>
      <c r="I206" s="47">
        <v>59.99</v>
      </c>
      <c r="J206" s="45" t="s">
        <v>94</v>
      </c>
      <c r="K206" s="45" t="s">
        <v>58</v>
      </c>
      <c r="L206" s="45" t="s">
        <v>73</v>
      </c>
      <c r="M206" s="46">
        <v>45045</v>
      </c>
      <c r="N206" s="47">
        <v>59.99</v>
      </c>
      <c r="O206" s="48">
        <f>EOMONTH(B206,0)</f>
        <v>45716</v>
      </c>
      <c r="P206" s="49" t="str">
        <f>"Q"&amp;ROUNDUP(MONTH(B206)/3,0)&amp;"-"&amp;YEAR(B206)</f>
        <v>Q1-2025</v>
      </c>
      <c r="Q206" s="50">
        <f ca="1">TODAY()-B206</f>
        <v>632</v>
      </c>
      <c r="R206" s="50">
        <f>COUNTIF($C$2:C206,C206)</f>
        <v>2</v>
      </c>
      <c r="S206" s="50">
        <v>205</v>
      </c>
    </row>
    <row r="207" spans="1:19">
      <c r="A207" s="45" t="s">
        <v>385</v>
      </c>
      <c r="B207" s="46">
        <v>45695</v>
      </c>
      <c r="C207" s="45" t="s">
        <v>279</v>
      </c>
      <c r="D207" s="45" t="s">
        <v>280</v>
      </c>
      <c r="E207" s="45" t="s">
        <v>81</v>
      </c>
      <c r="F207" s="45" t="s">
        <v>82</v>
      </c>
      <c r="G207" s="45" t="s">
        <v>83</v>
      </c>
      <c r="H207" s="45">
        <v>3</v>
      </c>
      <c r="I207" s="47">
        <v>149.99</v>
      </c>
      <c r="J207" s="45" t="s">
        <v>94</v>
      </c>
      <c r="K207" s="45" t="s">
        <v>77</v>
      </c>
      <c r="L207" s="45" t="s">
        <v>64</v>
      </c>
      <c r="M207" s="46">
        <v>44564</v>
      </c>
      <c r="N207" s="47">
        <v>449.97</v>
      </c>
      <c r="O207" s="48">
        <f>EOMONTH(B207,0)</f>
        <v>45716</v>
      </c>
      <c r="P207" s="49" t="str">
        <f>"Q"&amp;ROUNDUP(MONTH(B207)/3,0)&amp;"-"&amp;YEAR(B207)</f>
        <v>Q1-2025</v>
      </c>
      <c r="Q207" s="50">
        <f ca="1">TODAY()-B207</f>
        <v>629</v>
      </c>
      <c r="R207" s="50">
        <f>COUNTIF($C$2:C207,C207)</f>
        <v>2</v>
      </c>
      <c r="S207" s="50">
        <v>206</v>
      </c>
    </row>
    <row r="208" spans="1:19">
      <c r="A208" s="45" t="s">
        <v>386</v>
      </c>
      <c r="B208" s="46">
        <v>45695</v>
      </c>
      <c r="C208" s="45" t="s">
        <v>129</v>
      </c>
      <c r="D208" s="45" t="s">
        <v>130</v>
      </c>
      <c r="E208" s="45" t="s">
        <v>139</v>
      </c>
      <c r="F208" s="45" t="s">
        <v>140</v>
      </c>
      <c r="G208" s="45" t="s">
        <v>83</v>
      </c>
      <c r="H208" s="45">
        <v>5</v>
      </c>
      <c r="I208" s="47">
        <v>299.99</v>
      </c>
      <c r="J208" s="45" t="s">
        <v>63</v>
      </c>
      <c r="K208" s="45" t="s">
        <v>72</v>
      </c>
      <c r="L208" s="45" t="s">
        <v>59</v>
      </c>
      <c r="M208" s="46">
        <v>44959</v>
      </c>
      <c r="N208" s="47">
        <v>1499.95</v>
      </c>
      <c r="O208" s="48">
        <f>EOMONTH(B208,0)</f>
        <v>45716</v>
      </c>
      <c r="P208" s="49" t="str">
        <f>"Q"&amp;ROUNDUP(MONTH(B208)/3,0)&amp;"-"&amp;YEAR(B208)</f>
        <v>Q1-2025</v>
      </c>
      <c r="Q208" s="50">
        <f ca="1">TODAY()-B208</f>
        <v>629</v>
      </c>
      <c r="R208" s="50">
        <f>COUNTIF($C$2:C208,C208)</f>
        <v>3</v>
      </c>
      <c r="S208" s="50">
        <v>207</v>
      </c>
    </row>
    <row r="209" spans="1:19">
      <c r="A209" s="45" t="s">
        <v>387</v>
      </c>
      <c r="B209" s="46">
        <v>45696</v>
      </c>
      <c r="C209" s="45" t="s">
        <v>183</v>
      </c>
      <c r="D209" s="45" t="s">
        <v>184</v>
      </c>
      <c r="E209" s="45" t="s">
        <v>68</v>
      </c>
      <c r="F209" s="45" t="s">
        <v>69</v>
      </c>
      <c r="G209" s="45" t="s">
        <v>70</v>
      </c>
      <c r="H209" s="45">
        <v>5</v>
      </c>
      <c r="I209" s="47">
        <v>59.99</v>
      </c>
      <c r="J209" s="45" t="s">
        <v>94</v>
      </c>
      <c r="K209" s="45" t="s">
        <v>58</v>
      </c>
      <c r="L209" s="45" t="s">
        <v>73</v>
      </c>
      <c r="M209" s="46">
        <v>45177</v>
      </c>
      <c r="N209" s="47">
        <v>299.95</v>
      </c>
      <c r="O209" s="48">
        <f>EOMONTH(B209,0)</f>
        <v>45716</v>
      </c>
      <c r="P209" s="49" t="str">
        <f>"Q"&amp;ROUNDUP(MONTH(B209)/3,0)&amp;"-"&amp;YEAR(B209)</f>
        <v>Q1-2025</v>
      </c>
      <c r="Q209" s="50">
        <f ca="1">TODAY()-B209</f>
        <v>628</v>
      </c>
      <c r="R209" s="50">
        <f>COUNTIF($C$2:C209,C209)</f>
        <v>4</v>
      </c>
      <c r="S209" s="50">
        <v>208</v>
      </c>
    </row>
    <row r="210" spans="1:19">
      <c r="A210" s="45" t="s">
        <v>388</v>
      </c>
      <c r="B210" s="46">
        <v>45701</v>
      </c>
      <c r="C210" s="45" t="s">
        <v>142</v>
      </c>
      <c r="D210" s="45" t="s">
        <v>143</v>
      </c>
      <c r="E210" s="45" t="s">
        <v>148</v>
      </c>
      <c r="F210" s="45" t="s">
        <v>149</v>
      </c>
      <c r="G210" s="45" t="s">
        <v>70</v>
      </c>
      <c r="H210" s="45">
        <v>3</v>
      </c>
      <c r="I210" s="47">
        <v>79.989999999999995</v>
      </c>
      <c r="J210" s="45" t="s">
        <v>57</v>
      </c>
      <c r="K210" s="45" t="s">
        <v>100</v>
      </c>
      <c r="L210" s="45" t="s">
        <v>64</v>
      </c>
      <c r="M210" s="46">
        <v>44436</v>
      </c>
      <c r="N210" s="47">
        <v>239.97</v>
      </c>
      <c r="O210" s="48">
        <f>EOMONTH(B210,0)</f>
        <v>45716</v>
      </c>
      <c r="P210" s="49" t="str">
        <f>"Q"&amp;ROUNDUP(MONTH(B210)/3,0)&amp;"-"&amp;YEAR(B210)</f>
        <v>Q1-2025</v>
      </c>
      <c r="Q210" s="50">
        <f ca="1">TODAY()-B210</f>
        <v>623</v>
      </c>
      <c r="R210" s="50">
        <f>COUNTIF($C$2:C210,C210)</f>
        <v>6</v>
      </c>
      <c r="S210" s="50">
        <v>209</v>
      </c>
    </row>
    <row r="211" spans="1:19">
      <c r="A211" s="45" t="s">
        <v>389</v>
      </c>
      <c r="B211" s="46">
        <v>45704</v>
      </c>
      <c r="C211" s="45" t="s">
        <v>66</v>
      </c>
      <c r="D211" s="45" t="s">
        <v>67</v>
      </c>
      <c r="E211" s="45" t="s">
        <v>159</v>
      </c>
      <c r="F211" s="45" t="s">
        <v>160</v>
      </c>
      <c r="G211" s="45" t="s">
        <v>83</v>
      </c>
      <c r="H211" s="45">
        <v>3</v>
      </c>
      <c r="I211" s="47">
        <v>199.99</v>
      </c>
      <c r="J211" s="45" t="s">
        <v>57</v>
      </c>
      <c r="K211" s="45" t="s">
        <v>58</v>
      </c>
      <c r="L211" s="45" t="s">
        <v>59</v>
      </c>
      <c r="M211" s="46">
        <v>44735</v>
      </c>
      <c r="N211" s="47">
        <v>599.97</v>
      </c>
      <c r="O211" s="48">
        <f>EOMONTH(B211,0)</f>
        <v>45716</v>
      </c>
      <c r="P211" s="49" t="str">
        <f>"Q"&amp;ROUNDUP(MONTH(B211)/3,0)&amp;"-"&amp;YEAR(B211)</f>
        <v>Q1-2025</v>
      </c>
      <c r="Q211" s="50">
        <f ca="1">TODAY()-B211</f>
        <v>620</v>
      </c>
      <c r="R211" s="50">
        <f>COUNTIF($C$2:C211,C211)</f>
        <v>6</v>
      </c>
      <c r="S211" s="50">
        <v>210</v>
      </c>
    </row>
    <row r="212" spans="1:19">
      <c r="A212" s="45" t="s">
        <v>390</v>
      </c>
      <c r="B212" s="46">
        <v>45704</v>
      </c>
      <c r="C212" s="45" t="s">
        <v>53</v>
      </c>
      <c r="D212" s="45" t="s">
        <v>32</v>
      </c>
      <c r="E212" s="45" t="s">
        <v>151</v>
      </c>
      <c r="F212" s="45" t="s">
        <v>152</v>
      </c>
      <c r="G212" s="45" t="s">
        <v>56</v>
      </c>
      <c r="H212" s="45">
        <v>2</v>
      </c>
      <c r="I212" s="47">
        <v>89.99</v>
      </c>
      <c r="J212" s="45" t="s">
        <v>71</v>
      </c>
      <c r="K212" s="45" t="s">
        <v>58</v>
      </c>
      <c r="L212" s="45" t="s">
        <v>59</v>
      </c>
      <c r="M212" s="46">
        <v>45257</v>
      </c>
      <c r="N212" s="47">
        <v>179.98</v>
      </c>
      <c r="O212" s="48">
        <f>EOMONTH(B212,0)</f>
        <v>45716</v>
      </c>
      <c r="P212" s="49" t="str">
        <f>"Q"&amp;ROUNDUP(MONTH(B212)/3,0)&amp;"-"&amp;YEAR(B212)</f>
        <v>Q1-2025</v>
      </c>
      <c r="Q212" s="50">
        <f ca="1">TODAY()-B212</f>
        <v>620</v>
      </c>
      <c r="R212" s="50">
        <f>COUNTIF($C$2:C212,C212)</f>
        <v>6</v>
      </c>
      <c r="S212" s="50">
        <v>211</v>
      </c>
    </row>
    <row r="213" spans="1:19">
      <c r="A213" s="45" t="s">
        <v>391</v>
      </c>
      <c r="B213" s="46">
        <v>45705</v>
      </c>
      <c r="C213" s="45" t="s">
        <v>292</v>
      </c>
      <c r="D213" s="45" t="s">
        <v>293</v>
      </c>
      <c r="E213" s="45" t="s">
        <v>81</v>
      </c>
      <c r="F213" s="45" t="s">
        <v>82</v>
      </c>
      <c r="G213" s="45" t="s">
        <v>83</v>
      </c>
      <c r="H213" s="45">
        <v>2</v>
      </c>
      <c r="I213" s="47">
        <v>149.99</v>
      </c>
      <c r="J213" s="45" t="s">
        <v>57</v>
      </c>
      <c r="K213" s="45" t="s">
        <v>72</v>
      </c>
      <c r="L213" s="45" t="s">
        <v>64</v>
      </c>
      <c r="M213" s="46">
        <v>44728</v>
      </c>
      <c r="N213" s="47">
        <v>299.98</v>
      </c>
      <c r="O213" s="48">
        <f>EOMONTH(B213,0)</f>
        <v>45716</v>
      </c>
      <c r="P213" s="49" t="str">
        <f>"Q"&amp;ROUNDUP(MONTH(B213)/3,0)&amp;"-"&amp;YEAR(B213)</f>
        <v>Q1-2025</v>
      </c>
      <c r="Q213" s="50">
        <f ca="1">TODAY()-B213</f>
        <v>619</v>
      </c>
      <c r="R213" s="50">
        <f>COUNTIF($C$2:C213,C213)</f>
        <v>2</v>
      </c>
      <c r="S213" s="50">
        <v>212</v>
      </c>
    </row>
    <row r="214" spans="1:19">
      <c r="A214" s="45" t="s">
        <v>392</v>
      </c>
      <c r="B214" s="46">
        <v>45707</v>
      </c>
      <c r="C214" s="45" t="s">
        <v>157</v>
      </c>
      <c r="D214" s="45" t="s">
        <v>26</v>
      </c>
      <c r="E214" s="45" t="s">
        <v>117</v>
      </c>
      <c r="F214" s="45" t="s">
        <v>118</v>
      </c>
      <c r="G214" s="45" t="s">
        <v>56</v>
      </c>
      <c r="H214" s="45">
        <v>5</v>
      </c>
      <c r="I214" s="47">
        <v>699.99</v>
      </c>
      <c r="J214" s="45" t="s">
        <v>71</v>
      </c>
      <c r="K214" s="45" t="s">
        <v>72</v>
      </c>
      <c r="L214" s="45" t="s">
        <v>64</v>
      </c>
      <c r="M214" s="46">
        <v>45352</v>
      </c>
      <c r="N214" s="47">
        <v>3499.95</v>
      </c>
      <c r="O214" s="48">
        <f>EOMONTH(B214,0)</f>
        <v>45716</v>
      </c>
      <c r="P214" s="49" t="str">
        <f>"Q"&amp;ROUNDUP(MONTH(B214)/3,0)&amp;"-"&amp;YEAR(B214)</f>
        <v>Q1-2025</v>
      </c>
      <c r="Q214" s="50">
        <f ca="1">TODAY()-B214</f>
        <v>617</v>
      </c>
      <c r="R214" s="50">
        <f>COUNTIF($C$2:C214,C214)</f>
        <v>5</v>
      </c>
      <c r="S214" s="50">
        <v>213</v>
      </c>
    </row>
    <row r="215" spans="1:19">
      <c r="A215" s="45" t="s">
        <v>393</v>
      </c>
      <c r="B215" s="46">
        <v>45707</v>
      </c>
      <c r="C215" s="45" t="s">
        <v>79</v>
      </c>
      <c r="D215" s="45" t="s">
        <v>80</v>
      </c>
      <c r="E215" s="45" t="s">
        <v>81</v>
      </c>
      <c r="F215" s="45" t="s">
        <v>82</v>
      </c>
      <c r="G215" s="45" t="s">
        <v>83</v>
      </c>
      <c r="H215" s="45">
        <v>3</v>
      </c>
      <c r="I215" s="47">
        <v>149.99</v>
      </c>
      <c r="J215" s="45" t="s">
        <v>71</v>
      </c>
      <c r="K215" s="45" t="s">
        <v>58</v>
      </c>
      <c r="L215" s="45" t="s">
        <v>73</v>
      </c>
      <c r="M215" s="46">
        <v>44633</v>
      </c>
      <c r="N215" s="47">
        <v>449.97</v>
      </c>
      <c r="O215" s="48">
        <f>EOMONTH(B215,0)</f>
        <v>45716</v>
      </c>
      <c r="P215" s="49" t="str">
        <f>"Q"&amp;ROUNDUP(MONTH(B215)/3,0)&amp;"-"&amp;YEAR(B215)</f>
        <v>Q1-2025</v>
      </c>
      <c r="Q215" s="50">
        <f ca="1">TODAY()-B215</f>
        <v>617</v>
      </c>
      <c r="R215" s="50">
        <f>COUNTIF($C$2:C215,C215)</f>
        <v>9</v>
      </c>
      <c r="S215" s="50">
        <v>214</v>
      </c>
    </row>
    <row r="216" spans="1:19">
      <c r="A216" s="45" t="s">
        <v>394</v>
      </c>
      <c r="B216" s="46">
        <v>45708</v>
      </c>
      <c r="C216" s="45" t="s">
        <v>132</v>
      </c>
      <c r="D216" s="45" t="s">
        <v>28</v>
      </c>
      <c r="E216" s="45" t="s">
        <v>98</v>
      </c>
      <c r="F216" s="45" t="s">
        <v>99</v>
      </c>
      <c r="G216" s="45" t="s">
        <v>56</v>
      </c>
      <c r="H216" s="45">
        <v>3</v>
      </c>
      <c r="I216" s="47">
        <v>899.99</v>
      </c>
      <c r="J216" s="45" t="s">
        <v>57</v>
      </c>
      <c r="K216" s="45" t="s">
        <v>100</v>
      </c>
      <c r="L216" s="45" t="s">
        <v>73</v>
      </c>
      <c r="M216" s="46">
        <v>44613</v>
      </c>
      <c r="N216" s="47">
        <v>2699.97</v>
      </c>
      <c r="O216" s="48">
        <f>EOMONTH(B216,0)</f>
        <v>45716</v>
      </c>
      <c r="P216" s="49" t="str">
        <f>"Q"&amp;ROUNDUP(MONTH(B216)/3,0)&amp;"-"&amp;YEAR(B216)</f>
        <v>Q1-2025</v>
      </c>
      <c r="Q216" s="50">
        <f ca="1">TODAY()-B216</f>
        <v>616</v>
      </c>
      <c r="R216" s="50">
        <f>COUNTIF($C$2:C216,C216)</f>
        <v>5</v>
      </c>
      <c r="S216" s="50">
        <v>215</v>
      </c>
    </row>
    <row r="217" spans="1:19">
      <c r="A217" s="45" t="s">
        <v>395</v>
      </c>
      <c r="B217" s="46">
        <v>45708</v>
      </c>
      <c r="C217" s="45" t="s">
        <v>225</v>
      </c>
      <c r="D217" s="45" t="s">
        <v>226</v>
      </c>
      <c r="E217" s="45" t="s">
        <v>159</v>
      </c>
      <c r="F217" s="45" t="s">
        <v>160</v>
      </c>
      <c r="G217" s="45" t="s">
        <v>83</v>
      </c>
      <c r="H217" s="45">
        <v>3</v>
      </c>
      <c r="I217" s="47">
        <v>199.99</v>
      </c>
      <c r="J217" s="45" t="s">
        <v>57</v>
      </c>
      <c r="K217" s="45" t="s">
        <v>87</v>
      </c>
      <c r="L217" s="45" t="s">
        <v>64</v>
      </c>
      <c r="M217" s="46">
        <v>44823</v>
      </c>
      <c r="N217" s="47">
        <v>599.97</v>
      </c>
      <c r="O217" s="48">
        <f>EOMONTH(B217,0)</f>
        <v>45716</v>
      </c>
      <c r="P217" s="49" t="str">
        <f>"Q"&amp;ROUNDUP(MONTH(B217)/3,0)&amp;"-"&amp;YEAR(B217)</f>
        <v>Q1-2025</v>
      </c>
      <c r="Q217" s="50">
        <f ca="1">TODAY()-B217</f>
        <v>616</v>
      </c>
      <c r="R217" s="50">
        <f>COUNTIF($C$2:C217,C217)</f>
        <v>4</v>
      </c>
      <c r="S217" s="50">
        <v>216</v>
      </c>
    </row>
    <row r="218" spans="1:19">
      <c r="A218" s="45" t="s">
        <v>396</v>
      </c>
      <c r="B218" s="46">
        <v>45710</v>
      </c>
      <c r="C218" s="45" t="s">
        <v>92</v>
      </c>
      <c r="D218" s="45" t="s">
        <v>93</v>
      </c>
      <c r="E218" s="45" t="s">
        <v>139</v>
      </c>
      <c r="F218" s="45" t="s">
        <v>140</v>
      </c>
      <c r="G218" s="45" t="s">
        <v>83</v>
      </c>
      <c r="H218" s="45">
        <v>5</v>
      </c>
      <c r="I218" s="47">
        <v>299.99</v>
      </c>
      <c r="J218" s="45" t="s">
        <v>57</v>
      </c>
      <c r="K218" s="45" t="s">
        <v>87</v>
      </c>
      <c r="L218" s="45" t="s">
        <v>73</v>
      </c>
      <c r="M218" s="46">
        <v>45142</v>
      </c>
      <c r="N218" s="47">
        <v>1499.95</v>
      </c>
      <c r="O218" s="48">
        <f>EOMONTH(B218,0)</f>
        <v>45716</v>
      </c>
      <c r="P218" s="49" t="str">
        <f>"Q"&amp;ROUNDUP(MONTH(B218)/3,0)&amp;"-"&amp;YEAR(B218)</f>
        <v>Q1-2025</v>
      </c>
      <c r="Q218" s="50">
        <f ca="1">TODAY()-B218</f>
        <v>614</v>
      </c>
      <c r="R218" s="50">
        <f>COUNTIF($C$2:C218,C218)</f>
        <v>7</v>
      </c>
      <c r="S218" s="50">
        <v>217</v>
      </c>
    </row>
    <row r="219" spans="1:19">
      <c r="A219" s="45" t="s">
        <v>397</v>
      </c>
      <c r="B219" s="46">
        <v>45710</v>
      </c>
      <c r="C219" s="45" t="s">
        <v>183</v>
      </c>
      <c r="D219" s="45" t="s">
        <v>184</v>
      </c>
      <c r="E219" s="45" t="s">
        <v>117</v>
      </c>
      <c r="F219" s="45" t="s">
        <v>118</v>
      </c>
      <c r="G219" s="45" t="s">
        <v>56</v>
      </c>
      <c r="H219" s="45">
        <v>1</v>
      </c>
      <c r="I219" s="47">
        <v>699.99</v>
      </c>
      <c r="J219" s="45" t="s">
        <v>71</v>
      </c>
      <c r="K219" s="45" t="s">
        <v>87</v>
      </c>
      <c r="L219" s="45" t="s">
        <v>59</v>
      </c>
      <c r="M219" s="46">
        <v>44934</v>
      </c>
      <c r="N219" s="47">
        <v>699.99</v>
      </c>
      <c r="O219" s="48">
        <f>EOMONTH(B219,0)</f>
        <v>45716</v>
      </c>
      <c r="P219" s="49" t="str">
        <f>"Q"&amp;ROUNDUP(MONTH(B219)/3,0)&amp;"-"&amp;YEAR(B219)</f>
        <v>Q1-2025</v>
      </c>
      <c r="Q219" s="50">
        <f ca="1">TODAY()-B219</f>
        <v>614</v>
      </c>
      <c r="R219" s="50">
        <f>COUNTIF($C$2:C219,C219)</f>
        <v>5</v>
      </c>
      <c r="S219" s="50">
        <v>218</v>
      </c>
    </row>
    <row r="220" spans="1:19">
      <c r="A220" s="45" t="s">
        <v>398</v>
      </c>
      <c r="B220" s="46">
        <v>45711</v>
      </c>
      <c r="C220" s="45" t="s">
        <v>279</v>
      </c>
      <c r="D220" s="45" t="s">
        <v>280</v>
      </c>
      <c r="E220" s="45" t="s">
        <v>117</v>
      </c>
      <c r="F220" s="45" t="s">
        <v>118</v>
      </c>
      <c r="G220" s="45" t="s">
        <v>56</v>
      </c>
      <c r="H220" s="45">
        <v>1</v>
      </c>
      <c r="I220" s="47">
        <v>699.99</v>
      </c>
      <c r="J220" s="45" t="s">
        <v>57</v>
      </c>
      <c r="K220" s="45" t="s">
        <v>77</v>
      </c>
      <c r="L220" s="45" t="s">
        <v>64</v>
      </c>
      <c r="M220" s="46">
        <v>44583</v>
      </c>
      <c r="N220" s="47">
        <v>699.99</v>
      </c>
      <c r="O220" s="48">
        <f>EOMONTH(B220,0)</f>
        <v>45716</v>
      </c>
      <c r="P220" s="49" t="str">
        <f>"Q"&amp;ROUNDUP(MONTH(B220)/3,0)&amp;"-"&amp;YEAR(B220)</f>
        <v>Q1-2025</v>
      </c>
      <c r="Q220" s="50">
        <f ca="1">TODAY()-B220</f>
        <v>613</v>
      </c>
      <c r="R220" s="50">
        <f>COUNTIF($C$2:C220,C220)</f>
        <v>3</v>
      </c>
      <c r="S220" s="50">
        <v>219</v>
      </c>
    </row>
    <row r="221" spans="1:19">
      <c r="A221" s="45" t="s">
        <v>399</v>
      </c>
      <c r="B221" s="46">
        <v>45711</v>
      </c>
      <c r="C221" s="45" t="s">
        <v>358</v>
      </c>
      <c r="D221" s="45" t="s">
        <v>359</v>
      </c>
      <c r="E221" s="45" t="s">
        <v>81</v>
      </c>
      <c r="F221" s="45" t="s">
        <v>82</v>
      </c>
      <c r="G221" s="45" t="s">
        <v>83</v>
      </c>
      <c r="H221" s="45">
        <v>4</v>
      </c>
      <c r="I221" s="47">
        <v>149.99</v>
      </c>
      <c r="J221" s="45" t="s">
        <v>71</v>
      </c>
      <c r="K221" s="45" t="s">
        <v>77</v>
      </c>
      <c r="L221" s="45" t="s">
        <v>64</v>
      </c>
      <c r="M221" s="46">
        <v>44412</v>
      </c>
      <c r="N221" s="47">
        <v>599.96</v>
      </c>
      <c r="O221" s="48">
        <f>EOMONTH(B221,0)</f>
        <v>45716</v>
      </c>
      <c r="P221" s="49" t="str">
        <f>"Q"&amp;ROUNDUP(MONTH(B221)/3,0)&amp;"-"&amp;YEAR(B221)</f>
        <v>Q1-2025</v>
      </c>
      <c r="Q221" s="50">
        <f ca="1">TODAY()-B221</f>
        <v>613</v>
      </c>
      <c r="R221" s="50">
        <f>COUNTIF($C$2:C221,C221)</f>
        <v>3</v>
      </c>
      <c r="S221" s="50">
        <v>220</v>
      </c>
    </row>
    <row r="222" spans="1:19">
      <c r="A222" s="45" t="s">
        <v>400</v>
      </c>
      <c r="B222" s="46">
        <v>45711</v>
      </c>
      <c r="C222" s="45" t="s">
        <v>244</v>
      </c>
      <c r="D222" s="45" t="s">
        <v>245</v>
      </c>
      <c r="E222" s="45" t="s">
        <v>151</v>
      </c>
      <c r="F222" s="45" t="s">
        <v>152</v>
      </c>
      <c r="G222" s="45" t="s">
        <v>56</v>
      </c>
      <c r="H222" s="45">
        <v>5</v>
      </c>
      <c r="I222" s="47">
        <v>89.99</v>
      </c>
      <c r="J222" s="45" t="s">
        <v>71</v>
      </c>
      <c r="K222" s="45" t="s">
        <v>87</v>
      </c>
      <c r="L222" s="45" t="s">
        <v>64</v>
      </c>
      <c r="M222" s="46">
        <v>45140</v>
      </c>
      <c r="N222" s="47">
        <v>449.95</v>
      </c>
      <c r="O222" s="48">
        <f>EOMONTH(B222,0)</f>
        <v>45716</v>
      </c>
      <c r="P222" s="49" t="str">
        <f>"Q"&amp;ROUNDUP(MONTH(B222)/3,0)&amp;"-"&amp;YEAR(B222)</f>
        <v>Q1-2025</v>
      </c>
      <c r="Q222" s="50">
        <f ca="1">TODAY()-B222</f>
        <v>613</v>
      </c>
      <c r="R222" s="50">
        <f>COUNTIF($C$2:C222,C222)</f>
        <v>4</v>
      </c>
      <c r="S222" s="50">
        <v>221</v>
      </c>
    </row>
    <row r="223" spans="1:19">
      <c r="A223" s="45" t="s">
        <v>401</v>
      </c>
      <c r="B223" s="46">
        <v>45712</v>
      </c>
      <c r="C223" s="45" t="s">
        <v>171</v>
      </c>
      <c r="D223" s="45" t="s">
        <v>172</v>
      </c>
      <c r="E223" s="45" t="s">
        <v>159</v>
      </c>
      <c r="F223" s="45" t="s">
        <v>160</v>
      </c>
      <c r="G223" s="45" t="s">
        <v>83</v>
      </c>
      <c r="H223" s="45">
        <v>2</v>
      </c>
      <c r="I223" s="47">
        <v>199.99</v>
      </c>
      <c r="J223" s="45" t="s">
        <v>57</v>
      </c>
      <c r="K223" s="45" t="s">
        <v>58</v>
      </c>
      <c r="L223" s="45" t="s">
        <v>64</v>
      </c>
      <c r="M223" s="46">
        <v>44573</v>
      </c>
      <c r="N223" s="47">
        <v>399.98</v>
      </c>
      <c r="O223" s="48">
        <f>EOMONTH(B223,0)</f>
        <v>45716</v>
      </c>
      <c r="P223" s="49" t="str">
        <f>"Q"&amp;ROUNDUP(MONTH(B223)/3,0)&amp;"-"&amp;YEAR(B223)</f>
        <v>Q1-2025</v>
      </c>
      <c r="Q223" s="50">
        <f ca="1">TODAY()-B223</f>
        <v>612</v>
      </c>
      <c r="R223" s="50">
        <f>COUNTIF($C$2:C223,C223)</f>
        <v>5</v>
      </c>
      <c r="S223" s="50">
        <v>222</v>
      </c>
    </row>
    <row r="224" spans="1:19">
      <c r="A224" s="45" t="s">
        <v>402</v>
      </c>
      <c r="B224" s="46">
        <v>45715</v>
      </c>
      <c r="C224" s="45" t="s">
        <v>292</v>
      </c>
      <c r="D224" s="45" t="s">
        <v>293</v>
      </c>
      <c r="E224" s="45" t="s">
        <v>68</v>
      </c>
      <c r="F224" s="45" t="s">
        <v>69</v>
      </c>
      <c r="G224" s="45" t="s">
        <v>70</v>
      </c>
      <c r="H224" s="45">
        <v>4</v>
      </c>
      <c r="I224" s="47">
        <v>59.99</v>
      </c>
      <c r="J224" s="45" t="s">
        <v>57</v>
      </c>
      <c r="K224" s="45" t="s">
        <v>87</v>
      </c>
      <c r="L224" s="45" t="s">
        <v>73</v>
      </c>
      <c r="M224" s="46">
        <v>45070</v>
      </c>
      <c r="N224" s="47">
        <v>239.96</v>
      </c>
      <c r="O224" s="48">
        <f>EOMONTH(B224,0)</f>
        <v>45716</v>
      </c>
      <c r="P224" s="49" t="str">
        <f>"Q"&amp;ROUNDUP(MONTH(B224)/3,0)&amp;"-"&amp;YEAR(B224)</f>
        <v>Q1-2025</v>
      </c>
      <c r="Q224" s="50">
        <f ca="1">TODAY()-B224</f>
        <v>609</v>
      </c>
      <c r="R224" s="50">
        <f>COUNTIF($C$2:C224,C224)</f>
        <v>3</v>
      </c>
      <c r="S224" s="50">
        <v>223</v>
      </c>
    </row>
    <row r="225" spans="1:19">
      <c r="A225" s="45" t="s">
        <v>403</v>
      </c>
      <c r="B225" s="46">
        <v>45715</v>
      </c>
      <c r="C225" s="45" t="s">
        <v>129</v>
      </c>
      <c r="D225" s="45" t="s">
        <v>130</v>
      </c>
      <c r="E225" s="45" t="s">
        <v>139</v>
      </c>
      <c r="F225" s="45" t="s">
        <v>140</v>
      </c>
      <c r="G225" s="45" t="s">
        <v>83</v>
      </c>
      <c r="H225" s="45">
        <v>2</v>
      </c>
      <c r="I225" s="47">
        <v>299.99</v>
      </c>
      <c r="J225" s="45" t="s">
        <v>71</v>
      </c>
      <c r="K225" s="45" t="s">
        <v>72</v>
      </c>
      <c r="L225" s="45" t="s">
        <v>59</v>
      </c>
      <c r="M225" s="46">
        <v>44576</v>
      </c>
      <c r="N225" s="47">
        <v>599.98</v>
      </c>
      <c r="O225" s="48">
        <f>EOMONTH(B225,0)</f>
        <v>45716</v>
      </c>
      <c r="P225" s="49" t="str">
        <f>"Q"&amp;ROUNDUP(MONTH(B225)/3,0)&amp;"-"&amp;YEAR(B225)</f>
        <v>Q1-2025</v>
      </c>
      <c r="Q225" s="50">
        <f ca="1">TODAY()-B225</f>
        <v>609</v>
      </c>
      <c r="R225" s="50">
        <f>COUNTIF($C$2:C225,C225)</f>
        <v>4</v>
      </c>
      <c r="S225" s="50">
        <v>224</v>
      </c>
    </row>
    <row r="226" spans="1:19">
      <c r="A226" s="45" t="s">
        <v>404</v>
      </c>
      <c r="B226" s="46">
        <v>45718</v>
      </c>
      <c r="C226" s="45" t="s">
        <v>92</v>
      </c>
      <c r="D226" s="45" t="s">
        <v>93</v>
      </c>
      <c r="E226" s="45" t="s">
        <v>81</v>
      </c>
      <c r="F226" s="45" t="s">
        <v>82</v>
      </c>
      <c r="G226" s="45" t="s">
        <v>83</v>
      </c>
      <c r="H226" s="45">
        <v>2</v>
      </c>
      <c r="I226" s="47">
        <v>149.99</v>
      </c>
      <c r="J226" s="45" t="s">
        <v>57</v>
      </c>
      <c r="K226" s="45" t="s">
        <v>58</v>
      </c>
      <c r="L226" s="45" t="s">
        <v>59</v>
      </c>
      <c r="M226" s="46">
        <v>45068</v>
      </c>
      <c r="N226" s="47">
        <v>299.98</v>
      </c>
      <c r="O226" s="48">
        <f>EOMONTH(B226,0)</f>
        <v>45747</v>
      </c>
      <c r="P226" s="49" t="str">
        <f>"Q"&amp;ROUNDUP(MONTH(B226)/3,0)&amp;"-"&amp;YEAR(B226)</f>
        <v>Q1-2025</v>
      </c>
      <c r="Q226" s="50">
        <f ca="1">TODAY()-B226</f>
        <v>606</v>
      </c>
      <c r="R226" s="50">
        <f>COUNTIF($C$2:C226,C226)</f>
        <v>8</v>
      </c>
      <c r="S226" s="50">
        <v>225</v>
      </c>
    </row>
    <row r="227" spans="1:19">
      <c r="A227" s="45" t="s">
        <v>405</v>
      </c>
      <c r="B227" s="46">
        <v>45720</v>
      </c>
      <c r="C227" s="45" t="s">
        <v>259</v>
      </c>
      <c r="D227" s="45" t="s">
        <v>260</v>
      </c>
      <c r="E227" s="45" t="s">
        <v>117</v>
      </c>
      <c r="F227" s="45" t="s">
        <v>118</v>
      </c>
      <c r="G227" s="45" t="s">
        <v>56</v>
      </c>
      <c r="H227" s="45">
        <v>5</v>
      </c>
      <c r="I227" s="47">
        <v>699.99</v>
      </c>
      <c r="J227" s="45" t="s">
        <v>94</v>
      </c>
      <c r="K227" s="45" t="s">
        <v>100</v>
      </c>
      <c r="L227" s="45" t="s">
        <v>64</v>
      </c>
      <c r="M227" s="46">
        <v>45161</v>
      </c>
      <c r="N227" s="47">
        <v>3499.95</v>
      </c>
      <c r="O227" s="48">
        <f>EOMONTH(B227,0)</f>
        <v>45747</v>
      </c>
      <c r="P227" s="49" t="str">
        <f>"Q"&amp;ROUNDUP(MONTH(B227)/3,0)&amp;"-"&amp;YEAR(B227)</f>
        <v>Q1-2025</v>
      </c>
      <c r="Q227" s="50">
        <f ca="1">TODAY()-B227</f>
        <v>604</v>
      </c>
      <c r="R227" s="50">
        <f>COUNTIF($C$2:C227,C227)</f>
        <v>6</v>
      </c>
      <c r="S227" s="50">
        <v>226</v>
      </c>
    </row>
    <row r="228" spans="1:19">
      <c r="A228" s="45" t="s">
        <v>406</v>
      </c>
      <c r="B228" s="46">
        <v>45721</v>
      </c>
      <c r="C228" s="45" t="s">
        <v>112</v>
      </c>
      <c r="D228" s="45" t="s">
        <v>113</v>
      </c>
      <c r="E228" s="45" t="s">
        <v>68</v>
      </c>
      <c r="F228" s="45" t="s">
        <v>69</v>
      </c>
      <c r="G228" s="45" t="s">
        <v>70</v>
      </c>
      <c r="H228" s="45">
        <v>5</v>
      </c>
      <c r="I228" s="47">
        <v>59.99</v>
      </c>
      <c r="J228" s="45" t="s">
        <v>57</v>
      </c>
      <c r="K228" s="45" t="s">
        <v>87</v>
      </c>
      <c r="L228" s="45" t="s">
        <v>64</v>
      </c>
      <c r="M228" s="46">
        <v>45291</v>
      </c>
      <c r="N228" s="47">
        <v>299.95</v>
      </c>
      <c r="O228" s="48">
        <f>EOMONTH(B228,0)</f>
        <v>45747</v>
      </c>
      <c r="P228" s="49" t="str">
        <f>"Q"&amp;ROUNDUP(MONTH(B228)/3,0)&amp;"-"&amp;YEAR(B228)</f>
        <v>Q1-2025</v>
      </c>
      <c r="Q228" s="50">
        <f ca="1">TODAY()-B228</f>
        <v>603</v>
      </c>
      <c r="R228" s="50">
        <f>COUNTIF($C$2:C228,C228)</f>
        <v>2</v>
      </c>
      <c r="S228" s="50">
        <v>227</v>
      </c>
    </row>
    <row r="229" spans="1:19">
      <c r="A229" s="45" t="s">
        <v>407</v>
      </c>
      <c r="B229" s="46">
        <v>45723</v>
      </c>
      <c r="C229" s="45" t="s">
        <v>53</v>
      </c>
      <c r="D229" s="45" t="s">
        <v>32</v>
      </c>
      <c r="E229" s="45" t="s">
        <v>151</v>
      </c>
      <c r="F229" s="45" t="s">
        <v>152</v>
      </c>
      <c r="G229" s="45" t="s">
        <v>56</v>
      </c>
      <c r="H229" s="45">
        <v>2</v>
      </c>
      <c r="I229" s="47">
        <v>89.99</v>
      </c>
      <c r="J229" s="45" t="s">
        <v>63</v>
      </c>
      <c r="K229" s="45" t="s">
        <v>87</v>
      </c>
      <c r="L229" s="45" t="s">
        <v>64</v>
      </c>
      <c r="M229" s="46">
        <v>45295</v>
      </c>
      <c r="N229" s="47">
        <v>179.98</v>
      </c>
      <c r="O229" s="48">
        <f>EOMONTH(B229,0)</f>
        <v>45747</v>
      </c>
      <c r="P229" s="49" t="str">
        <f>"Q"&amp;ROUNDUP(MONTH(B229)/3,0)&amp;"-"&amp;YEAR(B229)</f>
        <v>Q1-2025</v>
      </c>
      <c r="Q229" s="50">
        <f ca="1">TODAY()-B229</f>
        <v>601</v>
      </c>
      <c r="R229" s="50">
        <f>COUNTIF($C$2:C229,C229)</f>
        <v>7</v>
      </c>
      <c r="S229" s="50">
        <v>228</v>
      </c>
    </row>
    <row r="230" spans="1:19">
      <c r="A230" s="45" t="s">
        <v>408</v>
      </c>
      <c r="B230" s="46">
        <v>45723</v>
      </c>
      <c r="C230" s="45" t="s">
        <v>154</v>
      </c>
      <c r="D230" s="45" t="s">
        <v>155</v>
      </c>
      <c r="E230" s="45" t="s">
        <v>54</v>
      </c>
      <c r="F230" s="45" t="s">
        <v>55</v>
      </c>
      <c r="G230" s="45" t="s">
        <v>56</v>
      </c>
      <c r="H230" s="45">
        <v>5</v>
      </c>
      <c r="I230" s="47">
        <v>249.99</v>
      </c>
      <c r="J230" s="45" t="s">
        <v>57</v>
      </c>
      <c r="K230" s="45" t="s">
        <v>100</v>
      </c>
      <c r="L230" s="45" t="s">
        <v>73</v>
      </c>
      <c r="M230" s="46">
        <v>44540</v>
      </c>
      <c r="N230" s="47">
        <v>1249.95</v>
      </c>
      <c r="O230" s="48">
        <f>EOMONTH(B230,0)</f>
        <v>45747</v>
      </c>
      <c r="P230" s="49" t="str">
        <f>"Q"&amp;ROUNDUP(MONTH(B230)/3,0)&amp;"-"&amp;YEAR(B230)</f>
        <v>Q1-2025</v>
      </c>
      <c r="Q230" s="50">
        <f ca="1">TODAY()-B230</f>
        <v>601</v>
      </c>
      <c r="R230" s="50">
        <f>COUNTIF($C$2:C230,C230)</f>
        <v>7</v>
      </c>
      <c r="S230" s="50">
        <v>229</v>
      </c>
    </row>
    <row r="231" spans="1:19">
      <c r="A231" s="45" t="s">
        <v>409</v>
      </c>
      <c r="B231" s="46">
        <v>45724</v>
      </c>
      <c r="C231" s="45" t="s">
        <v>259</v>
      </c>
      <c r="D231" s="45" t="s">
        <v>260</v>
      </c>
      <c r="E231" s="45" t="s">
        <v>81</v>
      </c>
      <c r="F231" s="45" t="s">
        <v>82</v>
      </c>
      <c r="G231" s="45" t="s">
        <v>83</v>
      </c>
      <c r="H231" s="45">
        <v>2</v>
      </c>
      <c r="I231" s="47">
        <v>149.99</v>
      </c>
      <c r="J231" s="45" t="s">
        <v>71</v>
      </c>
      <c r="K231" s="45" t="s">
        <v>58</v>
      </c>
      <c r="L231" s="45" t="s">
        <v>64</v>
      </c>
      <c r="M231" s="46">
        <v>44632</v>
      </c>
      <c r="N231" s="47">
        <v>299.98</v>
      </c>
      <c r="O231" s="48">
        <f>EOMONTH(B231,0)</f>
        <v>45747</v>
      </c>
      <c r="P231" s="49" t="str">
        <f>"Q"&amp;ROUNDUP(MONTH(B231)/3,0)&amp;"-"&amp;YEAR(B231)</f>
        <v>Q1-2025</v>
      </c>
      <c r="Q231" s="50">
        <f ca="1">TODAY()-B231</f>
        <v>600</v>
      </c>
      <c r="R231" s="50">
        <f>COUNTIF($C$2:C231,C231)</f>
        <v>7</v>
      </c>
      <c r="S231" s="50">
        <v>230</v>
      </c>
    </row>
    <row r="232" spans="1:19">
      <c r="A232" s="45" t="s">
        <v>410</v>
      </c>
      <c r="B232" s="46">
        <v>45724</v>
      </c>
      <c r="C232" s="45" t="s">
        <v>177</v>
      </c>
      <c r="D232" s="45" t="s">
        <v>178</v>
      </c>
      <c r="E232" s="45" t="s">
        <v>98</v>
      </c>
      <c r="F232" s="45" t="s">
        <v>99</v>
      </c>
      <c r="G232" s="45" t="s">
        <v>56</v>
      </c>
      <c r="H232" s="45">
        <v>5</v>
      </c>
      <c r="I232" s="47">
        <v>899.99</v>
      </c>
      <c r="J232" s="45" t="s">
        <v>71</v>
      </c>
      <c r="K232" s="45" t="s">
        <v>100</v>
      </c>
      <c r="L232" s="45" t="s">
        <v>64</v>
      </c>
      <c r="M232" s="46">
        <v>45389</v>
      </c>
      <c r="N232" s="47">
        <v>4499.95</v>
      </c>
      <c r="O232" s="48">
        <f>EOMONTH(B232,0)</f>
        <v>45747</v>
      </c>
      <c r="P232" s="49" t="str">
        <f>"Q"&amp;ROUNDUP(MONTH(B232)/3,0)&amp;"-"&amp;YEAR(B232)</f>
        <v>Q1-2025</v>
      </c>
      <c r="Q232" s="50">
        <f ca="1">TODAY()-B232</f>
        <v>600</v>
      </c>
      <c r="R232" s="50">
        <f>COUNTIF($C$2:C232,C232)</f>
        <v>3</v>
      </c>
      <c r="S232" s="50">
        <v>231</v>
      </c>
    </row>
    <row r="233" spans="1:19">
      <c r="A233" s="45" t="s">
        <v>411</v>
      </c>
      <c r="B233" s="46">
        <v>45724</v>
      </c>
      <c r="C233" s="45" t="s">
        <v>92</v>
      </c>
      <c r="D233" s="45" t="s">
        <v>93</v>
      </c>
      <c r="E233" s="45" t="s">
        <v>81</v>
      </c>
      <c r="F233" s="45" t="s">
        <v>82</v>
      </c>
      <c r="G233" s="45" t="s">
        <v>83</v>
      </c>
      <c r="H233" s="45">
        <v>4</v>
      </c>
      <c r="I233" s="47">
        <v>149.99</v>
      </c>
      <c r="J233" s="45" t="s">
        <v>57</v>
      </c>
      <c r="K233" s="45" t="s">
        <v>58</v>
      </c>
      <c r="L233" s="45" t="s">
        <v>73</v>
      </c>
      <c r="M233" s="46">
        <v>45263</v>
      </c>
      <c r="N233" s="47">
        <v>599.96</v>
      </c>
      <c r="O233" s="48">
        <f>EOMONTH(B233,0)</f>
        <v>45747</v>
      </c>
      <c r="P233" s="49" t="str">
        <f>"Q"&amp;ROUNDUP(MONTH(B233)/3,0)&amp;"-"&amp;YEAR(B233)</f>
        <v>Q1-2025</v>
      </c>
      <c r="Q233" s="50">
        <f ca="1">TODAY()-B233</f>
        <v>600</v>
      </c>
      <c r="R233" s="50">
        <f>COUNTIF($C$2:C233,C233)</f>
        <v>9</v>
      </c>
      <c r="S233" s="50">
        <v>232</v>
      </c>
    </row>
    <row r="234" spans="1:19">
      <c r="A234" s="45" t="s">
        <v>412</v>
      </c>
      <c r="B234" s="46">
        <v>45726</v>
      </c>
      <c r="C234" s="45" t="s">
        <v>177</v>
      </c>
      <c r="D234" s="45" t="s">
        <v>178</v>
      </c>
      <c r="E234" s="45" t="s">
        <v>54</v>
      </c>
      <c r="F234" s="45" t="s">
        <v>55</v>
      </c>
      <c r="G234" s="45" t="s">
        <v>56</v>
      </c>
      <c r="H234" s="45">
        <v>1</v>
      </c>
      <c r="I234" s="47">
        <v>249.99</v>
      </c>
      <c r="J234" s="45" t="s">
        <v>57</v>
      </c>
      <c r="K234" s="45" t="s">
        <v>77</v>
      </c>
      <c r="L234" s="45" t="s">
        <v>73</v>
      </c>
      <c r="M234" s="46">
        <v>45117</v>
      </c>
      <c r="N234" s="47">
        <v>249.99</v>
      </c>
      <c r="O234" s="48">
        <f>EOMONTH(B234,0)</f>
        <v>45747</v>
      </c>
      <c r="P234" s="49" t="str">
        <f>"Q"&amp;ROUNDUP(MONTH(B234)/3,0)&amp;"-"&amp;YEAR(B234)</f>
        <v>Q1-2025</v>
      </c>
      <c r="Q234" s="50">
        <f ca="1">TODAY()-B234</f>
        <v>598</v>
      </c>
      <c r="R234" s="50">
        <f>COUNTIF($C$2:C234,C234)</f>
        <v>4</v>
      </c>
      <c r="S234" s="50">
        <v>233</v>
      </c>
    </row>
    <row r="235" spans="1:19">
      <c r="A235" s="45" t="s">
        <v>413</v>
      </c>
      <c r="B235" s="46">
        <v>45734</v>
      </c>
      <c r="C235" s="45" t="s">
        <v>225</v>
      </c>
      <c r="D235" s="45" t="s">
        <v>226</v>
      </c>
      <c r="E235" s="45" t="s">
        <v>68</v>
      </c>
      <c r="F235" s="45" t="s">
        <v>69</v>
      </c>
      <c r="G235" s="45" t="s">
        <v>70</v>
      </c>
      <c r="H235" s="45">
        <v>2</v>
      </c>
      <c r="I235" s="47">
        <v>59.99</v>
      </c>
      <c r="J235" s="45" t="s">
        <v>63</v>
      </c>
      <c r="K235" s="45" t="s">
        <v>87</v>
      </c>
      <c r="L235" s="45" t="s">
        <v>59</v>
      </c>
      <c r="M235" s="46">
        <v>45193</v>
      </c>
      <c r="N235" s="47">
        <v>119.98</v>
      </c>
      <c r="O235" s="48">
        <f>EOMONTH(B235,0)</f>
        <v>45747</v>
      </c>
      <c r="P235" s="49" t="str">
        <f>"Q"&amp;ROUNDUP(MONTH(B235)/3,0)&amp;"-"&amp;YEAR(B235)</f>
        <v>Q1-2025</v>
      </c>
      <c r="Q235" s="50">
        <f ca="1">TODAY()-B235</f>
        <v>590</v>
      </c>
      <c r="R235" s="50">
        <f>COUNTIF($C$2:C235,C235)</f>
        <v>5</v>
      </c>
      <c r="S235" s="50">
        <v>234</v>
      </c>
    </row>
    <row r="236" spans="1:19">
      <c r="A236" s="45" t="s">
        <v>414</v>
      </c>
      <c r="B236" s="46">
        <v>45737</v>
      </c>
      <c r="C236" s="45" t="s">
        <v>165</v>
      </c>
      <c r="D236" s="45" t="s">
        <v>166</v>
      </c>
      <c r="E236" s="45" t="s">
        <v>81</v>
      </c>
      <c r="F236" s="45" t="s">
        <v>82</v>
      </c>
      <c r="G236" s="45" t="s">
        <v>83</v>
      </c>
      <c r="H236" s="45">
        <v>2</v>
      </c>
      <c r="I236" s="47">
        <v>149.99</v>
      </c>
      <c r="J236" s="45" t="s">
        <v>57</v>
      </c>
      <c r="K236" s="45" t="s">
        <v>87</v>
      </c>
      <c r="L236" s="45" t="s">
        <v>64</v>
      </c>
      <c r="M236" s="46">
        <v>45233</v>
      </c>
      <c r="N236" s="47">
        <v>299.98</v>
      </c>
      <c r="O236" s="48">
        <f>EOMONTH(B236,0)</f>
        <v>45747</v>
      </c>
      <c r="P236" s="49" t="str">
        <f>"Q"&amp;ROUNDUP(MONTH(B236)/3,0)&amp;"-"&amp;YEAR(B236)</f>
        <v>Q1-2025</v>
      </c>
      <c r="Q236" s="50">
        <f ca="1">TODAY()-B236</f>
        <v>587</v>
      </c>
      <c r="R236" s="50">
        <f>COUNTIF($C$2:C236,C236)</f>
        <v>5</v>
      </c>
      <c r="S236" s="50">
        <v>235</v>
      </c>
    </row>
    <row r="237" spans="1:19">
      <c r="A237" s="45" t="s">
        <v>415</v>
      </c>
      <c r="B237" s="46">
        <v>45737</v>
      </c>
      <c r="C237" s="45" t="s">
        <v>183</v>
      </c>
      <c r="D237" s="45" t="s">
        <v>184</v>
      </c>
      <c r="E237" s="45" t="s">
        <v>98</v>
      </c>
      <c r="F237" s="45" t="s">
        <v>99</v>
      </c>
      <c r="G237" s="45" t="s">
        <v>56</v>
      </c>
      <c r="H237" s="45">
        <v>3</v>
      </c>
      <c r="I237" s="47">
        <v>899.99</v>
      </c>
      <c r="J237" s="45" t="s">
        <v>94</v>
      </c>
      <c r="K237" s="45" t="s">
        <v>77</v>
      </c>
      <c r="L237" s="45" t="s">
        <v>64</v>
      </c>
      <c r="M237" s="46">
        <v>44876</v>
      </c>
      <c r="N237" s="47">
        <v>2699.97</v>
      </c>
      <c r="O237" s="48">
        <f>EOMONTH(B237,0)</f>
        <v>45747</v>
      </c>
      <c r="P237" s="49" t="str">
        <f>"Q"&amp;ROUNDUP(MONTH(B237)/3,0)&amp;"-"&amp;YEAR(B237)</f>
        <v>Q1-2025</v>
      </c>
      <c r="Q237" s="50">
        <f ca="1">TODAY()-B237</f>
        <v>587</v>
      </c>
      <c r="R237" s="50">
        <f>COUNTIF($C$2:C237,C237)</f>
        <v>6</v>
      </c>
      <c r="S237" s="50">
        <v>236</v>
      </c>
    </row>
    <row r="238" spans="1:19">
      <c r="A238" s="45" t="s">
        <v>416</v>
      </c>
      <c r="B238" s="46">
        <v>45737</v>
      </c>
      <c r="C238" s="45" t="s">
        <v>85</v>
      </c>
      <c r="D238" s="45" t="s">
        <v>86</v>
      </c>
      <c r="E238" s="45" t="s">
        <v>98</v>
      </c>
      <c r="F238" s="45" t="s">
        <v>99</v>
      </c>
      <c r="G238" s="45" t="s">
        <v>56</v>
      </c>
      <c r="H238" s="45">
        <v>3</v>
      </c>
      <c r="I238" s="47">
        <v>899.99</v>
      </c>
      <c r="J238" s="45" t="s">
        <v>71</v>
      </c>
      <c r="K238" s="45" t="s">
        <v>77</v>
      </c>
      <c r="L238" s="45" t="s">
        <v>59</v>
      </c>
      <c r="M238" s="46">
        <v>44975</v>
      </c>
      <c r="N238" s="47">
        <v>2699.97</v>
      </c>
      <c r="O238" s="48">
        <f>EOMONTH(B238,0)</f>
        <v>45747</v>
      </c>
      <c r="P238" s="49" t="str">
        <f>"Q"&amp;ROUNDUP(MONTH(B238)/3,0)&amp;"-"&amp;YEAR(B238)</f>
        <v>Q1-2025</v>
      </c>
      <c r="Q238" s="50">
        <f ca="1">TODAY()-B238</f>
        <v>587</v>
      </c>
      <c r="R238" s="50">
        <f>COUNTIF($C$2:C238,C238)</f>
        <v>6</v>
      </c>
      <c r="S238" s="50">
        <v>237</v>
      </c>
    </row>
    <row r="239" spans="1:19">
      <c r="A239" s="45" t="s">
        <v>417</v>
      </c>
      <c r="B239" s="46">
        <v>45739</v>
      </c>
      <c r="C239" s="45" t="s">
        <v>53</v>
      </c>
      <c r="D239" s="45" t="s">
        <v>32</v>
      </c>
      <c r="E239" s="45" t="s">
        <v>139</v>
      </c>
      <c r="F239" s="45" t="s">
        <v>140</v>
      </c>
      <c r="G239" s="45" t="s">
        <v>83</v>
      </c>
      <c r="H239" s="45">
        <v>3</v>
      </c>
      <c r="I239" s="47">
        <v>299.99</v>
      </c>
      <c r="J239" s="45" t="s">
        <v>63</v>
      </c>
      <c r="K239" s="45" t="s">
        <v>87</v>
      </c>
      <c r="L239" s="45" t="s">
        <v>64</v>
      </c>
      <c r="M239" s="46">
        <v>45234</v>
      </c>
      <c r="N239" s="47">
        <v>899.97</v>
      </c>
      <c r="O239" s="48">
        <f>EOMONTH(B239,0)</f>
        <v>45747</v>
      </c>
      <c r="P239" s="49" t="str">
        <f>"Q"&amp;ROUNDUP(MONTH(B239)/3,0)&amp;"-"&amp;YEAR(B239)</f>
        <v>Q1-2025</v>
      </c>
      <c r="Q239" s="50">
        <f ca="1">TODAY()-B239</f>
        <v>585</v>
      </c>
      <c r="R239" s="50">
        <f>COUNTIF($C$2:C239,C239)</f>
        <v>8</v>
      </c>
      <c r="S239" s="50">
        <v>238</v>
      </c>
    </row>
    <row r="240" spans="1:19">
      <c r="A240" s="45" t="s">
        <v>418</v>
      </c>
      <c r="B240" s="46">
        <v>45740</v>
      </c>
      <c r="C240" s="45" t="s">
        <v>419</v>
      </c>
      <c r="D240" s="45" t="s">
        <v>420</v>
      </c>
      <c r="E240" s="45" t="s">
        <v>81</v>
      </c>
      <c r="F240" s="45" t="s">
        <v>82</v>
      </c>
      <c r="G240" s="45" t="s">
        <v>83</v>
      </c>
      <c r="H240" s="45">
        <v>4</v>
      </c>
      <c r="I240" s="47">
        <v>149.99</v>
      </c>
      <c r="J240" s="45" t="s">
        <v>71</v>
      </c>
      <c r="K240" s="45" t="s">
        <v>87</v>
      </c>
      <c r="L240" s="45" t="s">
        <v>73</v>
      </c>
      <c r="M240" s="46">
        <v>44560</v>
      </c>
      <c r="N240" s="47">
        <v>599.96</v>
      </c>
      <c r="O240" s="48">
        <f>EOMONTH(B240,0)</f>
        <v>45747</v>
      </c>
      <c r="P240" s="49" t="str">
        <f>"Q"&amp;ROUNDUP(MONTH(B240)/3,0)&amp;"-"&amp;YEAR(B240)</f>
        <v>Q1-2025</v>
      </c>
      <c r="Q240" s="50">
        <f ca="1">TODAY()-B240</f>
        <v>584</v>
      </c>
      <c r="R240" s="50">
        <f>COUNTIF($C$2:C240,C240)</f>
        <v>1</v>
      </c>
      <c r="S240" s="50">
        <v>239</v>
      </c>
    </row>
    <row r="241" spans="1:19">
      <c r="A241" s="45" t="s">
        <v>421</v>
      </c>
      <c r="B241" s="46">
        <v>45743</v>
      </c>
      <c r="C241" s="45" t="s">
        <v>136</v>
      </c>
      <c r="D241" s="45" t="s">
        <v>137</v>
      </c>
      <c r="E241" s="45" t="s">
        <v>148</v>
      </c>
      <c r="F241" s="45" t="s">
        <v>149</v>
      </c>
      <c r="G241" s="45" t="s">
        <v>70</v>
      </c>
      <c r="H241" s="45">
        <v>4</v>
      </c>
      <c r="I241" s="47">
        <v>79.989999999999995</v>
      </c>
      <c r="J241" s="45" t="s">
        <v>63</v>
      </c>
      <c r="K241" s="45" t="s">
        <v>58</v>
      </c>
      <c r="L241" s="45" t="s">
        <v>59</v>
      </c>
      <c r="M241" s="46">
        <v>45288</v>
      </c>
      <c r="N241" s="47">
        <v>319.95999999999998</v>
      </c>
      <c r="O241" s="48">
        <f>EOMONTH(B241,0)</f>
        <v>45747</v>
      </c>
      <c r="P241" s="49" t="str">
        <f>"Q"&amp;ROUNDUP(MONTH(B241)/3,0)&amp;"-"&amp;YEAR(B241)</f>
        <v>Q1-2025</v>
      </c>
      <c r="Q241" s="50">
        <f ca="1">TODAY()-B241</f>
        <v>581</v>
      </c>
      <c r="R241" s="50">
        <f>COUNTIF($C$2:C241,C241)</f>
        <v>4</v>
      </c>
      <c r="S241" s="50">
        <v>240</v>
      </c>
    </row>
    <row r="242" spans="1:19">
      <c r="A242" s="45" t="s">
        <v>422</v>
      </c>
      <c r="B242" s="46">
        <v>45745</v>
      </c>
      <c r="C242" s="45" t="s">
        <v>218</v>
      </c>
      <c r="D242" s="45" t="s">
        <v>219</v>
      </c>
      <c r="E242" s="45" t="s">
        <v>151</v>
      </c>
      <c r="F242" s="45" t="s">
        <v>152</v>
      </c>
      <c r="G242" s="45" t="s">
        <v>56</v>
      </c>
      <c r="H242" s="45">
        <v>5</v>
      </c>
      <c r="I242" s="47">
        <v>89.99</v>
      </c>
      <c r="J242" s="45" t="s">
        <v>71</v>
      </c>
      <c r="K242" s="45" t="s">
        <v>72</v>
      </c>
      <c r="L242" s="45" t="s">
        <v>59</v>
      </c>
      <c r="M242" s="46">
        <v>44704</v>
      </c>
      <c r="N242" s="47">
        <v>449.95</v>
      </c>
      <c r="O242" s="48">
        <f>EOMONTH(B242,0)</f>
        <v>45747</v>
      </c>
      <c r="P242" s="49" t="str">
        <f>"Q"&amp;ROUNDUP(MONTH(B242)/3,0)&amp;"-"&amp;YEAR(B242)</f>
        <v>Q1-2025</v>
      </c>
      <c r="Q242" s="50">
        <f ca="1">TODAY()-B242</f>
        <v>579</v>
      </c>
      <c r="R242" s="50">
        <f>COUNTIF($C$2:C242,C242)</f>
        <v>4</v>
      </c>
      <c r="S242" s="50">
        <v>241</v>
      </c>
    </row>
    <row r="243" spans="1:19">
      <c r="A243" s="45" t="s">
        <v>423</v>
      </c>
      <c r="B243" s="46">
        <v>45746</v>
      </c>
      <c r="C243" s="45" t="s">
        <v>129</v>
      </c>
      <c r="D243" s="45" t="s">
        <v>130</v>
      </c>
      <c r="E243" s="45" t="s">
        <v>81</v>
      </c>
      <c r="F243" s="45" t="s">
        <v>82</v>
      </c>
      <c r="G243" s="45" t="s">
        <v>83</v>
      </c>
      <c r="H243" s="45">
        <v>3</v>
      </c>
      <c r="I243" s="47">
        <v>149.99</v>
      </c>
      <c r="J243" s="45" t="s">
        <v>71</v>
      </c>
      <c r="K243" s="45" t="s">
        <v>58</v>
      </c>
      <c r="L243" s="45" t="s">
        <v>73</v>
      </c>
      <c r="M243" s="46">
        <v>45171</v>
      </c>
      <c r="N243" s="47">
        <v>449.97</v>
      </c>
      <c r="O243" s="48">
        <f>EOMONTH(B243,0)</f>
        <v>45747</v>
      </c>
      <c r="P243" s="49" t="str">
        <f>"Q"&amp;ROUNDUP(MONTH(B243)/3,0)&amp;"-"&amp;YEAR(B243)</f>
        <v>Q1-2025</v>
      </c>
      <c r="Q243" s="50">
        <f ca="1">TODAY()-B243</f>
        <v>578</v>
      </c>
      <c r="R243" s="50">
        <f>COUNTIF($C$2:C243,C243)</f>
        <v>5</v>
      </c>
      <c r="S243" s="50">
        <v>242</v>
      </c>
    </row>
    <row r="244" spans="1:19">
      <c r="A244" s="45" t="s">
        <v>424</v>
      </c>
      <c r="B244" s="46">
        <v>45746</v>
      </c>
      <c r="C244" s="45" t="s">
        <v>102</v>
      </c>
      <c r="D244" s="45" t="s">
        <v>103</v>
      </c>
      <c r="E244" s="45" t="s">
        <v>151</v>
      </c>
      <c r="F244" s="45" t="s">
        <v>152</v>
      </c>
      <c r="G244" s="45" t="s">
        <v>56</v>
      </c>
      <c r="H244" s="45">
        <v>2</v>
      </c>
      <c r="I244" s="47">
        <v>89.99</v>
      </c>
      <c r="J244" s="45" t="s">
        <v>94</v>
      </c>
      <c r="K244" s="45" t="s">
        <v>87</v>
      </c>
      <c r="L244" s="45" t="s">
        <v>64</v>
      </c>
      <c r="M244" s="46">
        <v>44522</v>
      </c>
      <c r="N244" s="47">
        <v>179.98</v>
      </c>
      <c r="O244" s="48">
        <f>EOMONTH(B244,0)</f>
        <v>45747</v>
      </c>
      <c r="P244" s="49" t="str">
        <f>"Q"&amp;ROUNDUP(MONTH(B244)/3,0)&amp;"-"&amp;YEAR(B244)</f>
        <v>Q1-2025</v>
      </c>
      <c r="Q244" s="50">
        <f ca="1">TODAY()-B244</f>
        <v>578</v>
      </c>
      <c r="R244" s="50">
        <f>COUNTIF($C$2:C244,C244)</f>
        <v>8</v>
      </c>
      <c r="S244" s="50">
        <v>243</v>
      </c>
    </row>
    <row r="245" spans="1:19">
      <c r="A245" s="45" t="s">
        <v>425</v>
      </c>
      <c r="B245" s="46">
        <v>45748</v>
      </c>
      <c r="C245" s="45" t="s">
        <v>136</v>
      </c>
      <c r="D245" s="45" t="s">
        <v>137</v>
      </c>
      <c r="E245" s="45" t="s">
        <v>117</v>
      </c>
      <c r="F245" s="45" t="s">
        <v>118</v>
      </c>
      <c r="G245" s="45" t="s">
        <v>56</v>
      </c>
      <c r="H245" s="45">
        <v>2</v>
      </c>
      <c r="I245" s="47">
        <v>699.99</v>
      </c>
      <c r="J245" s="45" t="s">
        <v>71</v>
      </c>
      <c r="K245" s="45" t="s">
        <v>77</v>
      </c>
      <c r="L245" s="45" t="s">
        <v>73</v>
      </c>
      <c r="M245" s="46">
        <v>44618</v>
      </c>
      <c r="N245" s="47">
        <v>1399.98</v>
      </c>
      <c r="O245" s="48">
        <f>EOMONTH(B245,0)</f>
        <v>45777</v>
      </c>
      <c r="P245" s="49" t="str">
        <f>"Q"&amp;ROUNDUP(MONTH(B245)/3,0)&amp;"-"&amp;YEAR(B245)</f>
        <v>Q2-2025</v>
      </c>
      <c r="Q245" s="50">
        <f ca="1">TODAY()-B245</f>
        <v>576</v>
      </c>
      <c r="R245" s="50">
        <f>COUNTIF($C$2:C245,C245)</f>
        <v>5</v>
      </c>
      <c r="S245" s="50">
        <v>244</v>
      </c>
    </row>
    <row r="246" spans="1:19">
      <c r="A246" s="45" t="s">
        <v>426</v>
      </c>
      <c r="B246" s="46">
        <v>45749</v>
      </c>
      <c r="C246" s="45" t="s">
        <v>157</v>
      </c>
      <c r="D246" s="45" t="s">
        <v>26</v>
      </c>
      <c r="E246" s="45" t="s">
        <v>98</v>
      </c>
      <c r="F246" s="45" t="s">
        <v>99</v>
      </c>
      <c r="G246" s="45" t="s">
        <v>56</v>
      </c>
      <c r="H246" s="45">
        <v>3</v>
      </c>
      <c r="I246" s="47">
        <v>899.99</v>
      </c>
      <c r="J246" s="45" t="s">
        <v>57</v>
      </c>
      <c r="K246" s="45" t="s">
        <v>58</v>
      </c>
      <c r="L246" s="45" t="s">
        <v>73</v>
      </c>
      <c r="M246" s="46">
        <v>44953</v>
      </c>
      <c r="N246" s="47">
        <v>2699.97</v>
      </c>
      <c r="O246" s="48">
        <f>EOMONTH(B246,0)</f>
        <v>45777</v>
      </c>
      <c r="P246" s="49" t="str">
        <f>"Q"&amp;ROUNDUP(MONTH(B246)/3,0)&amp;"-"&amp;YEAR(B246)</f>
        <v>Q2-2025</v>
      </c>
      <c r="Q246" s="50">
        <f ca="1">TODAY()-B246</f>
        <v>575</v>
      </c>
      <c r="R246" s="50">
        <f>COUNTIF($C$2:C246,C246)</f>
        <v>6</v>
      </c>
      <c r="S246" s="50">
        <v>245</v>
      </c>
    </row>
    <row r="247" spans="1:19">
      <c r="A247" s="45" t="s">
        <v>427</v>
      </c>
      <c r="B247" s="46">
        <v>45755</v>
      </c>
      <c r="C247" s="45" t="s">
        <v>129</v>
      </c>
      <c r="D247" s="45" t="s">
        <v>130</v>
      </c>
      <c r="E247" s="45" t="s">
        <v>148</v>
      </c>
      <c r="F247" s="45" t="s">
        <v>149</v>
      </c>
      <c r="G247" s="45" t="s">
        <v>70</v>
      </c>
      <c r="H247" s="45">
        <v>3</v>
      </c>
      <c r="I247" s="47">
        <v>79.989999999999995</v>
      </c>
      <c r="J247" s="45" t="s">
        <v>63</v>
      </c>
      <c r="K247" s="45" t="s">
        <v>77</v>
      </c>
      <c r="L247" s="45" t="s">
        <v>59</v>
      </c>
      <c r="M247" s="46">
        <v>44511</v>
      </c>
      <c r="N247" s="47">
        <v>239.97</v>
      </c>
      <c r="O247" s="48">
        <f>EOMONTH(B247,0)</f>
        <v>45777</v>
      </c>
      <c r="P247" s="49" t="str">
        <f>"Q"&amp;ROUNDUP(MONTH(B247)/3,0)&amp;"-"&amp;YEAR(B247)</f>
        <v>Q2-2025</v>
      </c>
      <c r="Q247" s="50">
        <f ca="1">TODAY()-B247</f>
        <v>569</v>
      </c>
      <c r="R247" s="50">
        <f>COUNTIF($C$2:C247,C247)</f>
        <v>6</v>
      </c>
      <c r="S247" s="50">
        <v>246</v>
      </c>
    </row>
    <row r="248" spans="1:19">
      <c r="A248" s="45" t="s">
        <v>428</v>
      </c>
      <c r="B248" s="46">
        <v>45756</v>
      </c>
      <c r="C248" s="45" t="s">
        <v>96</v>
      </c>
      <c r="D248" s="45" t="s">
        <v>97</v>
      </c>
      <c r="E248" s="45" t="s">
        <v>151</v>
      </c>
      <c r="F248" s="45" t="s">
        <v>152</v>
      </c>
      <c r="G248" s="45" t="s">
        <v>56</v>
      </c>
      <c r="H248" s="45">
        <v>1</v>
      </c>
      <c r="I248" s="47">
        <v>89.99</v>
      </c>
      <c r="J248" s="45" t="s">
        <v>94</v>
      </c>
      <c r="K248" s="45" t="s">
        <v>100</v>
      </c>
      <c r="L248" s="45" t="s">
        <v>59</v>
      </c>
      <c r="M248" s="46">
        <v>45346</v>
      </c>
      <c r="N248" s="47">
        <v>89.99</v>
      </c>
      <c r="O248" s="48">
        <f>EOMONTH(B248,0)</f>
        <v>45777</v>
      </c>
      <c r="P248" s="49" t="str">
        <f>"Q"&amp;ROUNDUP(MONTH(B248)/3,0)&amp;"-"&amp;YEAR(B248)</f>
        <v>Q2-2025</v>
      </c>
      <c r="Q248" s="50">
        <f ca="1">TODAY()-B248</f>
        <v>568</v>
      </c>
      <c r="R248" s="50">
        <f>COUNTIF($C$2:C248,C248)</f>
        <v>5</v>
      </c>
      <c r="S248" s="50">
        <v>247</v>
      </c>
    </row>
    <row r="249" spans="1:19">
      <c r="A249" s="45" t="s">
        <v>429</v>
      </c>
      <c r="B249" s="46">
        <v>45758</v>
      </c>
      <c r="C249" s="45" t="s">
        <v>326</v>
      </c>
      <c r="D249" s="45" t="s">
        <v>327</v>
      </c>
      <c r="E249" s="45" t="s">
        <v>117</v>
      </c>
      <c r="F249" s="45" t="s">
        <v>118</v>
      </c>
      <c r="G249" s="45" t="s">
        <v>56</v>
      </c>
      <c r="H249" s="45">
        <v>3</v>
      </c>
      <c r="I249" s="47">
        <v>699.99</v>
      </c>
      <c r="J249" s="45" t="s">
        <v>71</v>
      </c>
      <c r="K249" s="45" t="s">
        <v>77</v>
      </c>
      <c r="L249" s="45" t="s">
        <v>59</v>
      </c>
      <c r="M249" s="46">
        <v>44909</v>
      </c>
      <c r="N249" s="47">
        <v>2099.9699999999998</v>
      </c>
      <c r="O249" s="48">
        <f>EOMONTH(B249,0)</f>
        <v>45777</v>
      </c>
      <c r="P249" s="49" t="str">
        <f>"Q"&amp;ROUNDUP(MONTH(B249)/3,0)&amp;"-"&amp;YEAR(B249)</f>
        <v>Q2-2025</v>
      </c>
      <c r="Q249" s="50">
        <f ca="1">TODAY()-B249</f>
        <v>566</v>
      </c>
      <c r="R249" s="50">
        <f>COUNTIF($C$2:C249,C249)</f>
        <v>4</v>
      </c>
      <c r="S249" s="50">
        <v>248</v>
      </c>
    </row>
    <row r="250" spans="1:19">
      <c r="A250" s="45" t="s">
        <v>430</v>
      </c>
      <c r="B250" s="46">
        <v>45758</v>
      </c>
      <c r="C250" s="45" t="s">
        <v>259</v>
      </c>
      <c r="D250" s="45" t="s">
        <v>260</v>
      </c>
      <c r="E250" s="45" t="s">
        <v>151</v>
      </c>
      <c r="F250" s="45" t="s">
        <v>152</v>
      </c>
      <c r="G250" s="45" t="s">
        <v>56</v>
      </c>
      <c r="H250" s="45">
        <v>2</v>
      </c>
      <c r="I250" s="47">
        <v>89.99</v>
      </c>
      <c r="J250" s="45" t="s">
        <v>94</v>
      </c>
      <c r="K250" s="45" t="s">
        <v>100</v>
      </c>
      <c r="L250" s="45" t="s">
        <v>59</v>
      </c>
      <c r="M250" s="46">
        <v>45088</v>
      </c>
      <c r="N250" s="47">
        <v>179.98</v>
      </c>
      <c r="O250" s="48">
        <f>EOMONTH(B250,0)</f>
        <v>45777</v>
      </c>
      <c r="P250" s="49" t="str">
        <f>"Q"&amp;ROUNDUP(MONTH(B250)/3,0)&amp;"-"&amp;YEAR(B250)</f>
        <v>Q2-2025</v>
      </c>
      <c r="Q250" s="50">
        <f ca="1">TODAY()-B250</f>
        <v>566</v>
      </c>
      <c r="R250" s="50">
        <f>COUNTIF($C$2:C250,C250)</f>
        <v>8</v>
      </c>
      <c r="S250" s="50">
        <v>249</v>
      </c>
    </row>
    <row r="251" spans="1:19">
      <c r="A251" s="45" t="s">
        <v>431</v>
      </c>
      <c r="B251" s="46">
        <v>45758</v>
      </c>
      <c r="C251" s="45" t="s">
        <v>171</v>
      </c>
      <c r="D251" s="45" t="s">
        <v>172</v>
      </c>
      <c r="E251" s="45" t="s">
        <v>151</v>
      </c>
      <c r="F251" s="45" t="s">
        <v>152</v>
      </c>
      <c r="G251" s="45" t="s">
        <v>56</v>
      </c>
      <c r="H251" s="45">
        <v>3</v>
      </c>
      <c r="I251" s="47">
        <v>89.99</v>
      </c>
      <c r="J251" s="45" t="s">
        <v>94</v>
      </c>
      <c r="K251" s="45" t="s">
        <v>77</v>
      </c>
      <c r="L251" s="45" t="s">
        <v>64</v>
      </c>
      <c r="M251" s="46">
        <v>44878</v>
      </c>
      <c r="N251" s="47">
        <v>269.97000000000003</v>
      </c>
      <c r="O251" s="48">
        <f>EOMONTH(B251,0)</f>
        <v>45777</v>
      </c>
      <c r="P251" s="49" t="str">
        <f>"Q"&amp;ROUNDUP(MONTH(B251)/3,0)&amp;"-"&amp;YEAR(B251)</f>
        <v>Q2-2025</v>
      </c>
      <c r="Q251" s="50">
        <f ca="1">TODAY()-B251</f>
        <v>566</v>
      </c>
      <c r="R251" s="50">
        <f>COUNTIF($C$2:C251,C251)</f>
        <v>6</v>
      </c>
      <c r="S251" s="50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8FA7-F1D7-4CC6-8A95-2AA9B6292325}">
  <dimension ref="A1:J93"/>
  <sheetViews>
    <sheetView workbookViewId="0">
      <selection activeCell="E14" sqref="E14"/>
    </sheetView>
  </sheetViews>
  <sheetFormatPr defaultRowHeight="14.4"/>
  <cols>
    <col min="1" max="1" width="35.109375" style="1" customWidth="1"/>
    <col min="2" max="2" width="14.5546875" style="1" customWidth="1"/>
    <col min="3" max="16384" width="8.88671875" style="1"/>
  </cols>
  <sheetData>
    <row r="1" spans="1:10" ht="21">
      <c r="A1" s="51" t="s">
        <v>432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>
      <c r="A2" s="52" t="s">
        <v>433</v>
      </c>
      <c r="B2" s="52"/>
      <c r="C2" s="52"/>
      <c r="D2" s="52"/>
      <c r="E2" s="52"/>
      <c r="F2" s="52"/>
      <c r="G2" s="52"/>
      <c r="H2" s="52"/>
      <c r="I2" s="52"/>
      <c r="J2" s="52"/>
    </row>
    <row r="3" spans="1:10">
      <c r="A3" s="20" t="s">
        <v>434</v>
      </c>
      <c r="B3" s="21"/>
      <c r="C3" s="21"/>
    </row>
    <row r="4" spans="1:10">
      <c r="A4" s="53" t="s">
        <v>435</v>
      </c>
      <c r="B4" s="54">
        <v>229192.47</v>
      </c>
      <c r="C4" s="55" t="s">
        <v>436</v>
      </c>
    </row>
    <row r="5" spans="1:10">
      <c r="A5" s="53" t="s">
        <v>437</v>
      </c>
      <c r="B5" s="56">
        <v>250</v>
      </c>
      <c r="C5" s="55" t="s">
        <v>436</v>
      </c>
    </row>
    <row r="6" spans="1:10">
      <c r="A6" s="53" t="s">
        <v>438</v>
      </c>
      <c r="B6" s="56">
        <v>753</v>
      </c>
      <c r="C6" s="55" t="s">
        <v>436</v>
      </c>
    </row>
    <row r="7" spans="1:10">
      <c r="A7" s="53" t="s">
        <v>439</v>
      </c>
      <c r="B7" s="57">
        <f>B4/B5</f>
        <v>916.76988000000006</v>
      </c>
      <c r="C7" s="55" t="s">
        <v>436</v>
      </c>
    </row>
    <row r="8" spans="1:10">
      <c r="A8" s="53" t="s">
        <v>440</v>
      </c>
      <c r="B8" s="58">
        <v>50</v>
      </c>
      <c r="C8" s="55" t="s">
        <v>436</v>
      </c>
    </row>
    <row r="9" spans="1:10">
      <c r="A9" s="53" t="s">
        <v>441</v>
      </c>
      <c r="B9" s="59">
        <v>45393</v>
      </c>
      <c r="C9" s="55" t="s">
        <v>436</v>
      </c>
    </row>
    <row r="10" spans="1:10">
      <c r="A10" s="53" t="s">
        <v>442</v>
      </c>
      <c r="B10" s="59">
        <v>45758</v>
      </c>
      <c r="C10" s="55" t="s">
        <v>436</v>
      </c>
    </row>
    <row r="11" spans="1:10">
      <c r="A11" s="53" t="s">
        <v>443</v>
      </c>
      <c r="B11" s="60" t="str">
        <f>_xlfn.SINGLE(INDEX(B57:B66,MATCH(MAX(G57:G66),G57:G66,0)))</f>
        <v>Laptop</v>
      </c>
      <c r="C11" s="55" t="s">
        <v>436</v>
      </c>
    </row>
    <row r="12" spans="1:10">
      <c r="A12" s="53" t="s">
        <v>444</v>
      </c>
      <c r="B12" s="60" t="str">
        <f>_xlfn.SINGLE(INDEX(B57:B66,MATCH(MAX(E57:E66),E57:E66,0)))</f>
        <v>Bookshelf</v>
      </c>
      <c r="C12" s="55" t="s">
        <v>436</v>
      </c>
    </row>
    <row r="13" spans="1:10">
      <c r="A13" s="53" t="s">
        <v>445</v>
      </c>
      <c r="B13" s="60" t="str">
        <f>_xlfn.SINGLE(INDEX(B57:B66,MATCH(MAX(F57:F66),F57:F66,0)))</f>
        <v>Bookshelf</v>
      </c>
      <c r="C13" s="55" t="s">
        <v>436</v>
      </c>
    </row>
    <row r="14" spans="1:10">
      <c r="A14" s="53" t="s">
        <v>446</v>
      </c>
      <c r="B14" s="60" t="str">
        <f>_xlfn.SINGLE(INDEX(A30:A34,MATCH(MAX(B30:B34),B30:B34,0)))</f>
        <v>East</v>
      </c>
      <c r="C14" s="55" t="s">
        <v>436</v>
      </c>
    </row>
    <row r="15" spans="1:10">
      <c r="A15" s="53" t="s">
        <v>447</v>
      </c>
      <c r="B15" s="60" t="str">
        <f>_xlfn.SINGLE(INDEX(A22:A24,MATCH(MAX(B22:B24),B22:B24,0)))</f>
        <v>Electronics</v>
      </c>
      <c r="C15" s="55" t="s">
        <v>436</v>
      </c>
    </row>
    <row r="16" spans="1:10">
      <c r="A16" s="53" t="s">
        <v>448</v>
      </c>
      <c r="B16" s="60" t="str">
        <f>_xlfn.SINGLE(INDEX(A40:A43,MATCH(MAX(B40:B43),B40:B43,0)))</f>
        <v>Credit Card</v>
      </c>
      <c r="C16" s="55" t="s">
        <v>436</v>
      </c>
    </row>
    <row r="17" spans="1:6">
      <c r="A17" s="53" t="s">
        <v>449</v>
      </c>
      <c r="B17" s="60" t="s">
        <v>24</v>
      </c>
      <c r="C17" s="55" t="s">
        <v>436</v>
      </c>
    </row>
    <row r="20" spans="1:6">
      <c r="A20" s="22" t="s">
        <v>450</v>
      </c>
      <c r="B20" s="23"/>
      <c r="C20" s="23"/>
      <c r="D20" s="23"/>
      <c r="E20" s="23"/>
      <c r="F20" s="23"/>
    </row>
    <row r="21" spans="1:6" ht="39.6">
      <c r="A21" s="43" t="s">
        <v>39</v>
      </c>
      <c r="B21" s="43" t="s">
        <v>23</v>
      </c>
      <c r="C21" s="43" t="s">
        <v>451</v>
      </c>
      <c r="D21" s="43" t="s">
        <v>25</v>
      </c>
      <c r="E21" s="43" t="s">
        <v>452</v>
      </c>
      <c r="F21" s="43" t="s">
        <v>27</v>
      </c>
    </row>
    <row r="22" spans="1:6">
      <c r="A22" s="55" t="s">
        <v>56</v>
      </c>
      <c r="B22" s="61">
        <v>171756.05</v>
      </c>
      <c r="C22" s="62">
        <v>395</v>
      </c>
      <c r="D22" s="62">
        <v>131</v>
      </c>
      <c r="E22" s="63">
        <f>IFERROR(B22/B$25,0)</f>
        <v>0.74939656612627814</v>
      </c>
      <c r="F22" s="61">
        <f>IFERROR(B22/D22,0)</f>
        <v>1311.1148854961832</v>
      </c>
    </row>
    <row r="23" spans="1:6">
      <c r="A23" s="55" t="s">
        <v>83</v>
      </c>
      <c r="B23" s="61">
        <v>49097.68</v>
      </c>
      <c r="C23" s="62">
        <v>232</v>
      </c>
      <c r="D23" s="62">
        <v>76</v>
      </c>
      <c r="E23" s="63">
        <f>IFERROR(B23/B$25,0)</f>
        <v>0.21422030139122811</v>
      </c>
      <c r="F23" s="61">
        <f>IFERROR(B23/D23,0)</f>
        <v>646.02210526315787</v>
      </c>
    </row>
    <row r="24" spans="1:6">
      <c r="A24" s="55" t="s">
        <v>70</v>
      </c>
      <c r="B24" s="61">
        <v>8338.74</v>
      </c>
      <c r="C24" s="62">
        <v>126</v>
      </c>
      <c r="D24" s="62">
        <v>43</v>
      </c>
      <c r="E24" s="63">
        <f>IFERROR(B24/B$25,0)</f>
        <v>3.6383132482493863E-2</v>
      </c>
      <c r="F24" s="61">
        <f>IFERROR(B24/D24,0)</f>
        <v>193.92418604651164</v>
      </c>
    </row>
    <row r="25" spans="1:6">
      <c r="A25" s="53" t="s">
        <v>453</v>
      </c>
      <c r="B25" s="64">
        <f>SUM(B22:B24)</f>
        <v>229192.46999999997</v>
      </c>
      <c r="C25" s="65">
        <f>SUM(C22:C24)</f>
        <v>753</v>
      </c>
      <c r="D25" s="65">
        <f>SUM(D22:D24)</f>
        <v>250</v>
      </c>
      <c r="E25" s="66">
        <f>SUM(E22:E24)</f>
        <v>1.0000000000000002</v>
      </c>
      <c r="F25" s="64">
        <f>IFERROR(B25/D25,0)</f>
        <v>916.76987999999994</v>
      </c>
    </row>
    <row r="28" spans="1:6">
      <c r="A28" s="41" t="s">
        <v>454</v>
      </c>
      <c r="B28" s="42"/>
      <c r="C28" s="42"/>
      <c r="D28" s="42"/>
      <c r="E28" s="42"/>
      <c r="F28" s="42"/>
    </row>
    <row r="29" spans="1:6" ht="39.6">
      <c r="A29" s="43" t="s">
        <v>43</v>
      </c>
      <c r="B29" s="43" t="s">
        <v>23</v>
      </c>
      <c r="C29" s="43" t="s">
        <v>451</v>
      </c>
      <c r="D29" s="43" t="s">
        <v>25</v>
      </c>
      <c r="E29" s="43" t="s">
        <v>452</v>
      </c>
      <c r="F29" s="43" t="s">
        <v>27</v>
      </c>
    </row>
    <row r="30" spans="1:6">
      <c r="A30" s="55" t="s">
        <v>100</v>
      </c>
      <c r="B30" s="61">
        <v>59288.39</v>
      </c>
      <c r="C30" s="62">
        <v>161</v>
      </c>
      <c r="D30" s="62">
        <v>48</v>
      </c>
      <c r="E30" s="63">
        <f>IFERROR(B30/B$35,0)</f>
        <v>0.25868384768487374</v>
      </c>
      <c r="F30" s="61">
        <f>IFERROR(B30/D30,0)</f>
        <v>1235.1747916666666</v>
      </c>
    </row>
    <row r="31" spans="1:6">
      <c r="A31" s="55" t="s">
        <v>77</v>
      </c>
      <c r="B31" s="61">
        <v>50808.31</v>
      </c>
      <c r="C31" s="62">
        <v>169</v>
      </c>
      <c r="D31" s="62">
        <v>59</v>
      </c>
      <c r="E31" s="63">
        <f>IFERROR(B31/B$35,0)</f>
        <v>0.221684028275449</v>
      </c>
      <c r="F31" s="61">
        <f>IFERROR(B31/D31,0)</f>
        <v>861.1577966101695</v>
      </c>
    </row>
    <row r="32" spans="1:6">
      <c r="A32" s="55" t="s">
        <v>87</v>
      </c>
      <c r="B32" s="61">
        <v>41408.68</v>
      </c>
      <c r="C32" s="62">
        <v>132</v>
      </c>
      <c r="D32" s="62">
        <v>47</v>
      </c>
      <c r="E32" s="63">
        <f>IFERROR(B32/B$35,0)</f>
        <v>0.18067207879909841</v>
      </c>
      <c r="F32" s="61">
        <f>IFERROR(B32/D32,0)</f>
        <v>881.03574468085105</v>
      </c>
    </row>
    <row r="33" spans="1:6">
      <c r="A33" s="55" t="s">
        <v>58</v>
      </c>
      <c r="B33" s="61">
        <v>41288.339999999997</v>
      </c>
      <c r="C33" s="62">
        <v>166</v>
      </c>
      <c r="D33" s="62">
        <v>54</v>
      </c>
      <c r="E33" s="63">
        <f>IFERROR(B33/B$35,0)</f>
        <v>0.18014701791904419</v>
      </c>
      <c r="F33" s="61">
        <f>IFERROR(B33/D33,0)</f>
        <v>764.59888888888884</v>
      </c>
    </row>
    <row r="34" spans="1:6">
      <c r="A34" s="55" t="s">
        <v>72</v>
      </c>
      <c r="B34" s="61">
        <v>36398.75</v>
      </c>
      <c r="C34" s="62">
        <v>125</v>
      </c>
      <c r="D34" s="62">
        <v>42</v>
      </c>
      <c r="E34" s="63">
        <f>IFERROR(B34/B$35,0)</f>
        <v>0.1588130273215346</v>
      </c>
      <c r="F34" s="61">
        <f>IFERROR(B34/D34,0)</f>
        <v>866.63690476190482</v>
      </c>
    </row>
    <row r="35" spans="1:6">
      <c r="A35" s="53" t="s">
        <v>453</v>
      </c>
      <c r="B35" s="64">
        <f>SUM(B30:B34)</f>
        <v>229192.47</v>
      </c>
      <c r="C35" s="65">
        <f>SUM(C30:C34)</f>
        <v>753</v>
      </c>
      <c r="D35" s="65">
        <f>SUM(D30:D34)</f>
        <v>250</v>
      </c>
      <c r="E35" s="66">
        <f>SUM(E30:E34)</f>
        <v>0.99999999999999989</v>
      </c>
      <c r="F35" s="64">
        <f>IFERROR(B35/D35,0)</f>
        <v>916.76988000000006</v>
      </c>
    </row>
    <row r="38" spans="1:6">
      <c r="A38" s="67" t="s">
        <v>455</v>
      </c>
      <c r="B38" s="68"/>
      <c r="C38" s="68"/>
      <c r="D38" s="68"/>
      <c r="E38" s="68"/>
      <c r="F38" s="68"/>
    </row>
    <row r="39" spans="1:6" ht="39.6">
      <c r="A39" s="43" t="s">
        <v>456</v>
      </c>
      <c r="B39" s="43" t="s">
        <v>23</v>
      </c>
      <c r="C39" s="43" t="s">
        <v>451</v>
      </c>
      <c r="D39" s="43" t="s">
        <v>25</v>
      </c>
      <c r="E39" s="43" t="s">
        <v>452</v>
      </c>
      <c r="F39" s="43" t="s">
        <v>27</v>
      </c>
    </row>
    <row r="40" spans="1:6">
      <c r="A40" s="55" t="s">
        <v>63</v>
      </c>
      <c r="B40" s="61">
        <v>61447.96</v>
      </c>
      <c r="C40" s="62">
        <v>204</v>
      </c>
      <c r="D40" s="62">
        <v>68</v>
      </c>
      <c r="E40" s="63">
        <f>IFERROR(B40/B$44,0)</f>
        <v>0.26810636492551432</v>
      </c>
      <c r="F40" s="61">
        <f>IFERROR(B40/D40,0)</f>
        <v>903.64647058823527</v>
      </c>
    </row>
    <row r="41" spans="1:6">
      <c r="A41" s="55" t="s">
        <v>71</v>
      </c>
      <c r="B41" s="61">
        <v>58198.41</v>
      </c>
      <c r="C41" s="62">
        <v>159</v>
      </c>
      <c r="D41" s="62">
        <v>52</v>
      </c>
      <c r="E41" s="63">
        <f>IFERROR(B41/B$44,0)</f>
        <v>0.25392810680036743</v>
      </c>
      <c r="F41" s="61">
        <f>IFERROR(B41/D41,0)</f>
        <v>1119.2001923076923</v>
      </c>
    </row>
    <row r="42" spans="1:6">
      <c r="A42" s="55" t="s">
        <v>57</v>
      </c>
      <c r="B42" s="61">
        <v>57427.79</v>
      </c>
      <c r="C42" s="62">
        <v>221</v>
      </c>
      <c r="D42" s="62">
        <v>76</v>
      </c>
      <c r="E42" s="63">
        <f>IFERROR(B42/B$44,0)</f>
        <v>0.25056577993160073</v>
      </c>
      <c r="F42" s="61">
        <f>IFERROR(B42/D42,0)</f>
        <v>755.62881578947372</v>
      </c>
    </row>
    <row r="43" spans="1:6">
      <c r="A43" s="55" t="s">
        <v>94</v>
      </c>
      <c r="B43" s="61">
        <v>52118.31</v>
      </c>
      <c r="C43" s="62">
        <v>169</v>
      </c>
      <c r="D43" s="62">
        <v>54</v>
      </c>
      <c r="E43" s="63">
        <f>IFERROR(B43/B$44,0)</f>
        <v>0.22739974834251753</v>
      </c>
      <c r="F43" s="61">
        <f>IFERROR(B43/D43,0)</f>
        <v>965.1538888888889</v>
      </c>
    </row>
    <row r="44" spans="1:6">
      <c r="A44" s="53" t="s">
        <v>453</v>
      </c>
      <c r="B44" s="64">
        <f>SUM(B40:B43)</f>
        <v>229192.47</v>
      </c>
      <c r="C44" s="65">
        <f>SUM(C40:C43)</f>
        <v>753</v>
      </c>
      <c r="D44" s="65">
        <f>SUM(D40:D43)</f>
        <v>250</v>
      </c>
      <c r="E44" s="66">
        <f>SUM(E40:E43)</f>
        <v>1</v>
      </c>
      <c r="F44" s="64">
        <f>IFERROR(B44/D44,0)</f>
        <v>916.76988000000006</v>
      </c>
    </row>
    <row r="47" spans="1:6">
      <c r="A47" s="69" t="s">
        <v>457</v>
      </c>
      <c r="B47" s="70"/>
      <c r="C47" s="70"/>
      <c r="D47" s="70"/>
      <c r="E47" s="70"/>
      <c r="F47" s="70"/>
    </row>
    <row r="48" spans="1:6" ht="39.6">
      <c r="A48" s="43" t="s">
        <v>458</v>
      </c>
      <c r="B48" s="43" t="s">
        <v>23</v>
      </c>
      <c r="C48" s="43" t="s">
        <v>451</v>
      </c>
      <c r="D48" s="43" t="s">
        <v>25</v>
      </c>
      <c r="E48" s="43" t="s">
        <v>452</v>
      </c>
      <c r="F48" s="43" t="s">
        <v>27</v>
      </c>
    </row>
    <row r="49" spans="1:10">
      <c r="A49" s="55" t="s">
        <v>59</v>
      </c>
      <c r="B49" s="61">
        <v>62177.81</v>
      </c>
      <c r="C49" s="62">
        <v>219</v>
      </c>
      <c r="D49" s="62">
        <v>74</v>
      </c>
      <c r="E49" s="63">
        <f>IFERROR(B49/B$52,0)</f>
        <v>0.27129080636898761</v>
      </c>
      <c r="F49" s="61">
        <f>IFERROR(B49/D49,0)</f>
        <v>840.24067567567567</v>
      </c>
    </row>
    <row r="50" spans="1:10">
      <c r="A50" s="55" t="s">
        <v>73</v>
      </c>
      <c r="B50" s="61">
        <v>82357.539999999994</v>
      </c>
      <c r="C50" s="62">
        <v>246</v>
      </c>
      <c r="D50" s="62">
        <v>81</v>
      </c>
      <c r="E50" s="63">
        <f>IFERROR(B50/B$52,0)</f>
        <v>0.35933789622320489</v>
      </c>
      <c r="F50" s="61">
        <f>IFERROR(B50/D50,0)</f>
        <v>1016.7597530864197</v>
      </c>
    </row>
    <row r="51" spans="1:10">
      <c r="A51" s="55" t="s">
        <v>64</v>
      </c>
      <c r="B51" s="61">
        <v>84657.12</v>
      </c>
      <c r="C51" s="62">
        <v>288</v>
      </c>
      <c r="D51" s="62">
        <v>95</v>
      </c>
      <c r="E51" s="63">
        <f>IFERROR(B51/B$52,0)</f>
        <v>0.36937129740780755</v>
      </c>
      <c r="F51" s="61">
        <f>IFERROR(B51/D51,0)</f>
        <v>891.12757894736842</v>
      </c>
    </row>
    <row r="52" spans="1:10">
      <c r="A52" s="53" t="s">
        <v>453</v>
      </c>
      <c r="B52" s="64">
        <f>SUM(B49:B51)</f>
        <v>229192.46999999997</v>
      </c>
      <c r="C52" s="65">
        <f>SUM(C49:C51)</f>
        <v>753</v>
      </c>
      <c r="D52" s="65">
        <f>SUM(D49:D51)</f>
        <v>250</v>
      </c>
      <c r="E52" s="66">
        <f>SUM(E49:E51)</f>
        <v>1</v>
      </c>
      <c r="F52" s="64">
        <f>IFERROR(B52/D52,0)</f>
        <v>916.76987999999994</v>
      </c>
    </row>
    <row r="55" spans="1:10">
      <c r="A55" s="71" t="s">
        <v>459</v>
      </c>
      <c r="B55" s="72"/>
      <c r="C55" s="72"/>
      <c r="D55" s="72"/>
      <c r="E55" s="72"/>
      <c r="F55" s="72"/>
      <c r="G55" s="72"/>
      <c r="H55" s="72"/>
      <c r="I55" s="72"/>
      <c r="J55" s="72"/>
    </row>
    <row r="56" spans="1:10" ht="26.4">
      <c r="A56" s="43" t="s">
        <v>460</v>
      </c>
      <c r="B56" s="43" t="s">
        <v>461</v>
      </c>
      <c r="C56" s="43" t="s">
        <v>39</v>
      </c>
      <c r="D56" s="43" t="s">
        <v>462</v>
      </c>
      <c r="E56" s="43" t="s">
        <v>451</v>
      </c>
      <c r="F56" s="43" t="s">
        <v>25</v>
      </c>
      <c r="G56" s="43" t="s">
        <v>23</v>
      </c>
      <c r="H56" s="43" t="s">
        <v>452</v>
      </c>
      <c r="I56" s="43" t="s">
        <v>463</v>
      </c>
      <c r="J56" s="43" t="s">
        <v>464</v>
      </c>
    </row>
    <row r="57" spans="1:10">
      <c r="A57" s="55" t="s">
        <v>98</v>
      </c>
      <c r="B57" s="55" t="s">
        <v>99</v>
      </c>
      <c r="C57" s="55" t="s">
        <v>56</v>
      </c>
      <c r="D57" s="73">
        <v>899.99</v>
      </c>
      <c r="E57" s="62">
        <v>75</v>
      </c>
      <c r="F57" s="62">
        <v>24</v>
      </c>
      <c r="G57" s="61">
        <v>67499.25</v>
      </c>
      <c r="H57" s="63">
        <f>IFERROR(G57/G$67,0)</f>
        <v>0.29450902117333966</v>
      </c>
      <c r="I57" s="74">
        <f>RANK(G57,$G$57:$G$66)</f>
        <v>1</v>
      </c>
      <c r="J57" s="74">
        <f>RANK(E57,$E$57:$E$66)</f>
        <v>7</v>
      </c>
    </row>
    <row r="58" spans="1:10">
      <c r="A58" s="55" t="s">
        <v>117</v>
      </c>
      <c r="B58" s="55" t="s">
        <v>118</v>
      </c>
      <c r="C58" s="55" t="s">
        <v>56</v>
      </c>
      <c r="D58" s="73">
        <v>699.99</v>
      </c>
      <c r="E58" s="62">
        <v>96</v>
      </c>
      <c r="F58" s="62">
        <v>31</v>
      </c>
      <c r="G58" s="61">
        <v>67199.039999999994</v>
      </c>
      <c r="H58" s="63">
        <f>IFERROR(G58/G$67,0)</f>
        <v>0.29319916138606122</v>
      </c>
      <c r="I58" s="74">
        <f>RANK(G58,$G$57:$G$66)</f>
        <v>2</v>
      </c>
      <c r="J58" s="74">
        <f>RANK(E58,$E$57:$E$66)</f>
        <v>2</v>
      </c>
    </row>
    <row r="59" spans="1:10">
      <c r="A59" s="55" t="s">
        <v>139</v>
      </c>
      <c r="B59" s="55" t="s">
        <v>140</v>
      </c>
      <c r="C59" s="55" t="s">
        <v>83</v>
      </c>
      <c r="D59" s="73">
        <v>299.99</v>
      </c>
      <c r="E59" s="62">
        <v>78</v>
      </c>
      <c r="F59" s="62">
        <v>26</v>
      </c>
      <c r="G59" s="61">
        <v>23399.22</v>
      </c>
      <c r="H59" s="63">
        <f>IFERROR(G59/G$67,0)</f>
        <v>0.10209419183797794</v>
      </c>
      <c r="I59" s="74">
        <f>RANK(G59,$G$57:$G$66)</f>
        <v>3</v>
      </c>
      <c r="J59" s="74">
        <f>RANK(E59,$E$57:$E$66)</f>
        <v>6</v>
      </c>
    </row>
    <row r="60" spans="1:10">
      <c r="A60" s="55" t="s">
        <v>54</v>
      </c>
      <c r="B60" s="55" t="s">
        <v>55</v>
      </c>
      <c r="C60" s="55" t="s">
        <v>56</v>
      </c>
      <c r="D60" s="73">
        <v>249.99</v>
      </c>
      <c r="E60" s="62">
        <v>88</v>
      </c>
      <c r="F60" s="62">
        <v>26</v>
      </c>
      <c r="G60" s="61">
        <v>21999.119999999999</v>
      </c>
      <c r="H60" s="63">
        <f>IFERROR(G60/G$67,0)</f>
        <v>9.5985352398357593E-2</v>
      </c>
      <c r="I60" s="74">
        <f>RANK(G60,$G$57:$G$66)</f>
        <v>4</v>
      </c>
      <c r="J60" s="74">
        <f>RANK(E60,$E$57:$E$66)</f>
        <v>4</v>
      </c>
    </row>
    <row r="61" spans="1:10">
      <c r="A61" s="55" t="s">
        <v>81</v>
      </c>
      <c r="B61" s="55" t="s">
        <v>82</v>
      </c>
      <c r="C61" s="55" t="s">
        <v>83</v>
      </c>
      <c r="D61" s="73">
        <v>149.99</v>
      </c>
      <c r="E61" s="62">
        <v>102</v>
      </c>
      <c r="F61" s="62">
        <v>35</v>
      </c>
      <c r="G61" s="61">
        <v>15298.98</v>
      </c>
      <c r="H61" s="63">
        <f>IFERROR(G61/G$67,0)</f>
        <v>6.6751669459297683E-2</v>
      </c>
      <c r="I61" s="74">
        <f>RANK(G61,$G$57:$G$66)</f>
        <v>5</v>
      </c>
      <c r="J61" s="74">
        <f>RANK(E61,$E$57:$E$66)</f>
        <v>1</v>
      </c>
    </row>
    <row r="62" spans="1:10">
      <c r="A62" s="55" t="s">
        <v>159</v>
      </c>
      <c r="B62" s="55" t="s">
        <v>160</v>
      </c>
      <c r="C62" s="55" t="s">
        <v>83</v>
      </c>
      <c r="D62" s="73">
        <v>199.99</v>
      </c>
      <c r="E62" s="62">
        <v>52</v>
      </c>
      <c r="F62" s="62">
        <v>15</v>
      </c>
      <c r="G62" s="61">
        <v>10399.48</v>
      </c>
      <c r="H62" s="63">
        <f>IFERROR(G62/G$67,0)</f>
        <v>4.537444009395248E-2</v>
      </c>
      <c r="I62" s="74">
        <f>RANK(G62,$G$57:$G$66)</f>
        <v>6</v>
      </c>
      <c r="J62" s="74">
        <f>RANK(E62,$E$57:$E$66)</f>
        <v>8</v>
      </c>
    </row>
    <row r="63" spans="1:10">
      <c r="A63" s="55" t="s">
        <v>151</v>
      </c>
      <c r="B63" s="55" t="s">
        <v>152</v>
      </c>
      <c r="C63" s="55" t="s">
        <v>56</v>
      </c>
      <c r="D63" s="73">
        <v>89.99</v>
      </c>
      <c r="E63" s="62">
        <v>89</v>
      </c>
      <c r="F63" s="62">
        <v>34</v>
      </c>
      <c r="G63" s="61">
        <v>8009.11</v>
      </c>
      <c r="H63" s="63">
        <f>IFERROR(G63/G$67,0)</f>
        <v>3.4944908966686387E-2</v>
      </c>
      <c r="I63" s="74">
        <f>RANK(G63,$G$57:$G$66)</f>
        <v>7</v>
      </c>
      <c r="J63" s="74">
        <f>RANK(E63,$E$57:$E$66)</f>
        <v>3</v>
      </c>
    </row>
    <row r="64" spans="1:10">
      <c r="A64" s="55" t="s">
        <v>89</v>
      </c>
      <c r="B64" s="55" t="s">
        <v>90</v>
      </c>
      <c r="C64" s="55" t="s">
        <v>56</v>
      </c>
      <c r="D64" s="73">
        <v>149.99</v>
      </c>
      <c r="E64" s="62">
        <v>47</v>
      </c>
      <c r="F64" s="62">
        <v>16</v>
      </c>
      <c r="G64" s="61">
        <v>7049.53</v>
      </c>
      <c r="H64" s="63">
        <f>IFERROR(G64/G$67,0)</f>
        <v>3.0758122201833247E-2</v>
      </c>
      <c r="I64" s="74">
        <f>RANK(G64,$G$57:$G$66)</f>
        <v>8</v>
      </c>
      <c r="J64" s="74">
        <f>RANK(E64,$E$57:$E$66)</f>
        <v>9</v>
      </c>
    </row>
    <row r="65" spans="1:10">
      <c r="A65" s="55" t="s">
        <v>68</v>
      </c>
      <c r="B65" s="55" t="s">
        <v>69</v>
      </c>
      <c r="C65" s="55" t="s">
        <v>70</v>
      </c>
      <c r="D65" s="73">
        <v>59.99</v>
      </c>
      <c r="E65" s="62">
        <v>87</v>
      </c>
      <c r="F65" s="62">
        <v>29</v>
      </c>
      <c r="G65" s="61">
        <v>5219.13</v>
      </c>
      <c r="H65" s="63">
        <f>IFERROR(G65/G$67,0)</f>
        <v>2.2771821430259034E-2</v>
      </c>
      <c r="I65" s="74">
        <f>RANK(G65,$G$57:$G$66)</f>
        <v>9</v>
      </c>
      <c r="J65" s="74">
        <f>RANK(E65,$E$57:$E$66)</f>
        <v>5</v>
      </c>
    </row>
    <row r="66" spans="1:10">
      <c r="A66" s="55" t="s">
        <v>148</v>
      </c>
      <c r="B66" s="55" t="s">
        <v>149</v>
      </c>
      <c r="C66" s="55" t="s">
        <v>70</v>
      </c>
      <c r="D66" s="73">
        <v>79.989999999999995</v>
      </c>
      <c r="E66" s="62">
        <v>39</v>
      </c>
      <c r="F66" s="62">
        <v>14</v>
      </c>
      <c r="G66" s="61">
        <v>3119.61</v>
      </c>
      <c r="H66" s="63">
        <f>IFERROR(G66/G$67,0)</f>
        <v>1.3611311052234834E-2</v>
      </c>
      <c r="I66" s="74">
        <f>RANK(G66,$G$57:$G$66)</f>
        <v>10</v>
      </c>
      <c r="J66" s="74">
        <f>RANK(E66,$E$57:$E$66)</f>
        <v>10</v>
      </c>
    </row>
    <row r="67" spans="1:10">
      <c r="A67" s="53" t="s">
        <v>453</v>
      </c>
      <c r="E67" s="65">
        <f>SUM(E57:E66)</f>
        <v>753</v>
      </c>
      <c r="F67" s="65">
        <f>SUM(F57:F66)</f>
        <v>250</v>
      </c>
      <c r="G67" s="64">
        <f>SUM(G57:G66)</f>
        <v>229192.46999999997</v>
      </c>
      <c r="H67" s="66">
        <f>SUM(H57:H66)</f>
        <v>1</v>
      </c>
    </row>
    <row r="70" spans="1:10">
      <c r="A70" s="67" t="s">
        <v>465</v>
      </c>
      <c r="B70" s="68"/>
      <c r="C70" s="68"/>
      <c r="D70" s="68"/>
      <c r="E70" s="68"/>
      <c r="F70" s="68"/>
      <c r="G70" s="68"/>
      <c r="H70" s="68"/>
    </row>
    <row r="71" spans="1:10" ht="39.6">
      <c r="A71" s="43" t="s">
        <v>466</v>
      </c>
      <c r="B71" s="43" t="s">
        <v>467</v>
      </c>
      <c r="C71" s="43" t="s">
        <v>23</v>
      </c>
      <c r="D71" s="43" t="s">
        <v>25</v>
      </c>
      <c r="E71" s="43" t="s">
        <v>468</v>
      </c>
      <c r="F71" s="43" t="s">
        <v>469</v>
      </c>
      <c r="G71" s="43" t="s">
        <v>470</v>
      </c>
      <c r="H71" s="43" t="s">
        <v>471</v>
      </c>
    </row>
    <row r="72" spans="1:10" ht="26.4">
      <c r="A72" s="75">
        <v>45383</v>
      </c>
      <c r="B72" s="76" t="str">
        <f>TEXT(A72,"mmm-yy")</f>
        <v>Apr-24</v>
      </c>
      <c r="C72" s="61">
        <v>20919.330000000002</v>
      </c>
      <c r="D72" s="62">
        <v>21</v>
      </c>
      <c r="E72" s="62">
        <v>67</v>
      </c>
      <c r="F72" s="77" t="str">
        <f>""</f>
        <v/>
      </c>
      <c r="G72" s="61">
        <f>SUM(C$72:C72)</f>
        <v>20919.330000000002</v>
      </c>
      <c r="H72" s="76" t="s">
        <v>472</v>
      </c>
    </row>
    <row r="73" spans="1:10" ht="26.4">
      <c r="A73" s="75">
        <f>EDATE(A72,1)</f>
        <v>45413</v>
      </c>
      <c r="B73" s="76" t="str">
        <f>TEXT(A73,"mmm-yy")</f>
        <v>May-24</v>
      </c>
      <c r="C73" s="61">
        <v>17039.349999999999</v>
      </c>
      <c r="D73" s="62">
        <v>19</v>
      </c>
      <c r="E73" s="62">
        <v>65</v>
      </c>
      <c r="F73" s="77">
        <f>IF(C72=0,"",C73/C72-1)</f>
        <v>-0.18547343533468819</v>
      </c>
      <c r="G73" s="61">
        <f>SUM(C$72:C73)</f>
        <v>37958.68</v>
      </c>
      <c r="H73" s="76" t="s">
        <v>473</v>
      </c>
    </row>
    <row r="74" spans="1:10" ht="26.4">
      <c r="A74" s="75">
        <f>EDATE(A73,1)</f>
        <v>45444</v>
      </c>
      <c r="B74" s="76" t="str">
        <f>TEXT(A74,"mmm-yy")</f>
        <v>Jun-24</v>
      </c>
      <c r="C74" s="61">
        <v>19299.45</v>
      </c>
      <c r="D74" s="62">
        <v>19</v>
      </c>
      <c r="E74" s="62">
        <v>55</v>
      </c>
      <c r="F74" s="77">
        <f>IF(C73=0,"",C74/C73-1)</f>
        <v>0.13264003615161379</v>
      </c>
      <c r="G74" s="61">
        <f>SUM(C$72:C74)</f>
        <v>57258.130000000005</v>
      </c>
      <c r="H74" s="76" t="s">
        <v>473</v>
      </c>
    </row>
    <row r="75" spans="1:10" ht="26.4">
      <c r="A75" s="75">
        <f>EDATE(A74,1)</f>
        <v>45474</v>
      </c>
      <c r="B75" s="76" t="str">
        <f>TEXT(A75,"mmm-yy")</f>
        <v>Jul-24</v>
      </c>
      <c r="C75" s="61">
        <v>18479.400000000001</v>
      </c>
      <c r="D75" s="62">
        <v>24</v>
      </c>
      <c r="E75" s="62">
        <v>60</v>
      </c>
      <c r="F75" s="77">
        <f>IF(C74=0,"",C75/C74-1)</f>
        <v>-4.2490848184792762E-2</v>
      </c>
      <c r="G75" s="61">
        <f>SUM(C$72:C75)</f>
        <v>75737.53</v>
      </c>
      <c r="H75" s="76" t="s">
        <v>473</v>
      </c>
    </row>
    <row r="76" spans="1:10" ht="26.4">
      <c r="A76" s="75">
        <f>EDATE(A75,1)</f>
        <v>45505</v>
      </c>
      <c r="B76" s="76" t="str">
        <f>TEXT(A76,"mmm-yy")</f>
        <v>Aug-24</v>
      </c>
      <c r="C76" s="61">
        <v>15759.43</v>
      </c>
      <c r="D76" s="62">
        <v>18</v>
      </c>
      <c r="E76" s="62">
        <v>57</v>
      </c>
      <c r="F76" s="77">
        <f>IF(C75=0,"",C76/C75-1)</f>
        <v>-0.14718930268298758</v>
      </c>
      <c r="G76" s="61">
        <f>SUM(C$72:C76)</f>
        <v>91496.959999999992</v>
      </c>
      <c r="H76" s="76" t="s">
        <v>473</v>
      </c>
    </row>
    <row r="77" spans="1:10" ht="26.4">
      <c r="A77" s="75">
        <f>EDATE(A76,1)</f>
        <v>45536</v>
      </c>
      <c r="B77" s="76" t="str">
        <f>TEXT(A77,"mmm-yy")</f>
        <v>Sep-24</v>
      </c>
      <c r="C77" s="61">
        <v>12989.51</v>
      </c>
      <c r="D77" s="62">
        <v>19</v>
      </c>
      <c r="E77" s="62">
        <v>49</v>
      </c>
      <c r="F77" s="77">
        <f>IF(C76=0,"",C77/C76-1)</f>
        <v>-0.17576270207742284</v>
      </c>
      <c r="G77" s="61">
        <f>SUM(C$72:C77)</f>
        <v>104486.46999999999</v>
      </c>
      <c r="H77" s="76" t="s">
        <v>473</v>
      </c>
    </row>
    <row r="78" spans="1:10" ht="26.4">
      <c r="A78" s="75">
        <f>EDATE(A77,1)</f>
        <v>45566</v>
      </c>
      <c r="B78" s="76" t="str">
        <f>TEXT(A78,"mmm-yy")</f>
        <v>Oct-24</v>
      </c>
      <c r="C78" s="61">
        <v>20609.52</v>
      </c>
      <c r="D78" s="62">
        <v>16</v>
      </c>
      <c r="E78" s="62">
        <v>48</v>
      </c>
      <c r="F78" s="77">
        <f>IF(C77=0,"",C78/C77-1)</f>
        <v>0.5866279790384703</v>
      </c>
      <c r="G78" s="61">
        <f>SUM(C$72:C78)</f>
        <v>125095.98999999999</v>
      </c>
      <c r="H78" s="76" t="s">
        <v>473</v>
      </c>
    </row>
    <row r="79" spans="1:10" ht="26.4">
      <c r="A79" s="75">
        <f>EDATE(A78,1)</f>
        <v>45597</v>
      </c>
      <c r="B79" s="76" t="str">
        <f>TEXT(A79,"mmm-yy")</f>
        <v>Nov-24</v>
      </c>
      <c r="C79" s="61">
        <v>12309.44</v>
      </c>
      <c r="D79" s="62">
        <v>17</v>
      </c>
      <c r="E79" s="62">
        <v>56</v>
      </c>
      <c r="F79" s="77">
        <f>IF(C78=0,"",C79/C78-1)</f>
        <v>-0.40273038867474831</v>
      </c>
      <c r="G79" s="61">
        <f>SUM(C$72:C79)</f>
        <v>137405.43</v>
      </c>
      <c r="H79" s="76" t="s">
        <v>473</v>
      </c>
    </row>
    <row r="80" spans="1:10" ht="26.4">
      <c r="A80" s="75">
        <f>EDATE(A79,1)</f>
        <v>45627</v>
      </c>
      <c r="B80" s="76" t="str">
        <f>TEXT(A80,"mmm-yy")</f>
        <v>Dec-24</v>
      </c>
      <c r="C80" s="61">
        <v>23039.3</v>
      </c>
      <c r="D80" s="62">
        <v>25</v>
      </c>
      <c r="E80" s="62">
        <v>70</v>
      </c>
      <c r="F80" s="77">
        <f>IF(C79=0,"",C80/C79-1)</f>
        <v>0.8716773468167518</v>
      </c>
      <c r="G80" s="61">
        <f>SUM(C$72:C80)</f>
        <v>160444.72999999998</v>
      </c>
      <c r="H80" s="76" t="s">
        <v>473</v>
      </c>
    </row>
    <row r="81" spans="1:8" ht="26.4">
      <c r="A81" s="75">
        <f>EDATE(A80,1)</f>
        <v>45658</v>
      </c>
      <c r="B81" s="76" t="str">
        <f>TEXT(A81,"mmm-yy")</f>
        <v>Jan-25</v>
      </c>
      <c r="C81" s="61">
        <v>25799.15</v>
      </c>
      <c r="D81" s="62">
        <v>26</v>
      </c>
      <c r="E81" s="62">
        <v>85</v>
      </c>
      <c r="F81" s="77">
        <f>IF(C80=0,"",C81/C80-1)</f>
        <v>0.11978879566653511</v>
      </c>
      <c r="G81" s="61">
        <f>SUM(C$72:C81)</f>
        <v>186243.87999999998</v>
      </c>
      <c r="H81" s="76" t="s">
        <v>473</v>
      </c>
    </row>
    <row r="82" spans="1:8" ht="26.4">
      <c r="A82" s="75">
        <f>EDATE(A81,1)</f>
        <v>45689</v>
      </c>
      <c r="B82" s="76" t="str">
        <f>TEXT(A82,"mmm-yy")</f>
        <v>Feb-25</v>
      </c>
      <c r="C82" s="61">
        <v>16069.38</v>
      </c>
      <c r="D82" s="62">
        <v>20</v>
      </c>
      <c r="E82" s="62">
        <v>62</v>
      </c>
      <c r="F82" s="77">
        <f>IF(C81=0,"",C82/C81-1)</f>
        <v>-0.37713529321702466</v>
      </c>
      <c r="G82" s="61">
        <f>SUM(C$72:C82)</f>
        <v>202313.25999999998</v>
      </c>
      <c r="H82" s="76" t="s">
        <v>473</v>
      </c>
    </row>
    <row r="83" spans="1:8" ht="26.4">
      <c r="A83" s="75">
        <f>EDATE(A82,1)</f>
        <v>45717</v>
      </c>
      <c r="B83" s="76" t="str">
        <f>TEXT(A83,"mmm-yy")</f>
        <v>Mar-25</v>
      </c>
      <c r="C83" s="61">
        <v>19899.38</v>
      </c>
      <c r="D83" s="62">
        <v>19</v>
      </c>
      <c r="E83" s="62">
        <v>62</v>
      </c>
      <c r="F83" s="77">
        <f>IF(C82=0,"",C83/C82-1)</f>
        <v>0.23834149170658736</v>
      </c>
      <c r="G83" s="61">
        <f>SUM(C$72:C83)</f>
        <v>222212.63999999998</v>
      </c>
      <c r="H83" s="76" t="s">
        <v>473</v>
      </c>
    </row>
    <row r="84" spans="1:8" ht="26.4">
      <c r="A84" s="75">
        <f>EDATE(A83,1)</f>
        <v>45748</v>
      </c>
      <c r="B84" s="76" t="str">
        <f>TEXT(A84,"mmm-yy")</f>
        <v>Apr-25</v>
      </c>
      <c r="C84" s="61">
        <v>6979.83</v>
      </c>
      <c r="D84" s="62">
        <v>7</v>
      </c>
      <c r="E84" s="62">
        <v>17</v>
      </c>
      <c r="F84" s="77">
        <f>IF(C83=0,"",C84/C83-1)</f>
        <v>-0.64924384578816019</v>
      </c>
      <c r="G84" s="61">
        <f>SUM(C$72:C84)</f>
        <v>229192.46999999997</v>
      </c>
      <c r="H84" s="76" t="s">
        <v>472</v>
      </c>
    </row>
    <row r="85" spans="1:8">
      <c r="A85" s="53" t="s">
        <v>453</v>
      </c>
      <c r="C85" s="64">
        <f>SUM(C72:C84)</f>
        <v>229192.46999999997</v>
      </c>
      <c r="D85" s="65">
        <f>SUM(D72:D84)</f>
        <v>250</v>
      </c>
      <c r="E85" s="65">
        <f>SUM(E72:E84)</f>
        <v>753</v>
      </c>
    </row>
    <row r="88" spans="1:8">
      <c r="A88" s="41" t="s">
        <v>474</v>
      </c>
      <c r="B88" s="42"/>
      <c r="C88" s="42"/>
      <c r="D88" s="42"/>
      <c r="E88" s="42"/>
      <c r="F88" s="42"/>
      <c r="G88" s="42"/>
    </row>
    <row r="89" spans="1:8" ht="26.4">
      <c r="A89" s="43" t="s">
        <v>39</v>
      </c>
      <c r="B89" s="43" t="s">
        <v>100</v>
      </c>
      <c r="C89" s="43" t="s">
        <v>77</v>
      </c>
      <c r="D89" s="43" t="s">
        <v>87</v>
      </c>
      <c r="E89" s="43" t="s">
        <v>58</v>
      </c>
      <c r="F89" s="43" t="s">
        <v>72</v>
      </c>
      <c r="G89" s="43" t="s">
        <v>453</v>
      </c>
    </row>
    <row r="90" spans="1:8">
      <c r="A90" s="55" t="s">
        <v>56</v>
      </c>
      <c r="B90" s="61">
        <v>50649.01</v>
      </c>
      <c r="C90" s="61">
        <v>39239.040000000001</v>
      </c>
      <c r="D90" s="61">
        <v>31429.35</v>
      </c>
      <c r="E90" s="61">
        <v>24889.33</v>
      </c>
      <c r="F90" s="61">
        <v>25549.32</v>
      </c>
      <c r="G90" s="78">
        <f>SUM(B90:F90)</f>
        <v>171756.05</v>
      </c>
    </row>
    <row r="91" spans="1:8">
      <c r="A91" s="55" t="s">
        <v>83</v>
      </c>
      <c r="B91" s="61">
        <v>6399.71</v>
      </c>
      <c r="C91" s="61">
        <v>10449.43</v>
      </c>
      <c r="D91" s="61">
        <v>8099.64</v>
      </c>
      <c r="E91" s="61">
        <v>14399.3</v>
      </c>
      <c r="F91" s="61">
        <v>9749.6</v>
      </c>
      <c r="G91" s="78">
        <f>SUM(B91:F91)</f>
        <v>49097.68</v>
      </c>
    </row>
    <row r="92" spans="1:8">
      <c r="A92" s="55" t="s">
        <v>70</v>
      </c>
      <c r="B92" s="61">
        <v>2239.67</v>
      </c>
      <c r="C92" s="61">
        <v>1119.8399999999999</v>
      </c>
      <c r="D92" s="61">
        <v>1879.69</v>
      </c>
      <c r="E92" s="61">
        <v>1999.71</v>
      </c>
      <c r="F92" s="61">
        <v>1099.83</v>
      </c>
      <c r="G92" s="78">
        <f>SUM(B92:F92)</f>
        <v>8338.7400000000016</v>
      </c>
    </row>
    <row r="93" spans="1:8">
      <c r="A93" s="53" t="s">
        <v>453</v>
      </c>
      <c r="B93" s="64">
        <f>SUM(B90:B92)</f>
        <v>59288.39</v>
      </c>
      <c r="C93" s="64">
        <f>SUM(C90:C92)</f>
        <v>50808.31</v>
      </c>
      <c r="D93" s="64">
        <f>SUM(D90:D92)</f>
        <v>41408.68</v>
      </c>
      <c r="E93" s="64">
        <f>SUM(E90:E92)</f>
        <v>41288.340000000004</v>
      </c>
      <c r="F93" s="64">
        <f>SUM(F90:F92)</f>
        <v>36398.75</v>
      </c>
      <c r="G93" s="64">
        <f>SUM(G90:G92)</f>
        <v>229192.46999999997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232F-9F6E-4D63-ACE0-342161B7FE41}">
  <dimension ref="A1:R54"/>
  <sheetViews>
    <sheetView workbookViewId="0">
      <selection activeCell="F13" sqref="F13"/>
    </sheetView>
  </sheetViews>
  <sheetFormatPr defaultRowHeight="14.4"/>
  <cols>
    <col min="2" max="2" width="13.77734375" customWidth="1"/>
    <col min="6" max="6" width="11.33203125" customWidth="1"/>
    <col min="7" max="7" width="11.77734375" customWidth="1"/>
    <col min="8" max="8" width="11" customWidth="1"/>
    <col min="15" max="15" width="14.6640625" customWidth="1"/>
  </cols>
  <sheetData>
    <row r="1" spans="1:18" ht="21">
      <c r="A1" s="51" t="s">
        <v>475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2" t="s">
        <v>476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1" t="s">
        <v>477</v>
      </c>
      <c r="O3" s="42"/>
      <c r="P3" s="1"/>
      <c r="Q3" s="1"/>
      <c r="R3" s="1"/>
    </row>
    <row r="4" spans="1:18" ht="39.6">
      <c r="A4" s="43" t="s">
        <v>35</v>
      </c>
      <c r="B4" s="43" t="s">
        <v>478</v>
      </c>
      <c r="C4" s="43" t="s">
        <v>25</v>
      </c>
      <c r="D4" s="43" t="s">
        <v>468</v>
      </c>
      <c r="E4" s="43" t="s">
        <v>23</v>
      </c>
      <c r="F4" s="43" t="s">
        <v>479</v>
      </c>
      <c r="G4" s="43" t="s">
        <v>480</v>
      </c>
      <c r="H4" s="43" t="s">
        <v>481</v>
      </c>
      <c r="I4" s="43" t="s">
        <v>463</v>
      </c>
      <c r="J4" s="43" t="s">
        <v>482</v>
      </c>
      <c r="K4" s="43" t="s">
        <v>452</v>
      </c>
      <c r="L4" s="43" t="s">
        <v>483</v>
      </c>
      <c r="M4" s="1"/>
      <c r="N4" s="55" t="s">
        <v>484</v>
      </c>
      <c r="O4" s="79">
        <f>PERCENTILE($E$5:$E$54,0.75)</f>
        <v>6304.8074999999999</v>
      </c>
      <c r="P4" s="1"/>
      <c r="Q4" s="1"/>
      <c r="R4" s="1"/>
    </row>
    <row r="5" spans="1:18" ht="26.4">
      <c r="A5" s="55" t="s">
        <v>419</v>
      </c>
      <c r="B5" s="55" t="s">
        <v>420</v>
      </c>
      <c r="C5" s="74">
        <v>1</v>
      </c>
      <c r="D5" s="74">
        <v>4</v>
      </c>
      <c r="E5" s="61">
        <v>599.96</v>
      </c>
      <c r="F5" s="61">
        <f>IFERROR(E5/C5,0)</f>
        <v>599.96</v>
      </c>
      <c r="G5" s="75">
        <v>45740</v>
      </c>
      <c r="H5" s="75">
        <v>45740</v>
      </c>
      <c r="I5" s="74">
        <f>RANK(E5,$E$5:$E$54,0)+COUNTIF($E$5:E5,E5)-1</f>
        <v>47</v>
      </c>
      <c r="J5" s="76" t="str">
        <f>IF(E5&gt;=$O$4,"High-Value",IF(E5&gt;=$O$5,"Mid-Value","Low-Value"))</f>
        <v>Low-Value</v>
      </c>
      <c r="K5" s="63">
        <f>IFERROR(E5/SUM($E$5:$E$54),0)</f>
        <v>2.6177125278155954E-3</v>
      </c>
      <c r="L5" s="76" t="str">
        <f>IF(C5&gt;1,"Repeat","One-time")</f>
        <v>One-time</v>
      </c>
      <c r="M5" s="1"/>
      <c r="N5" s="55" t="s">
        <v>485</v>
      </c>
      <c r="O5" s="79">
        <f>PERCENTILE($E$5:$E$54,0.4)</f>
        <v>3661.8539999999998</v>
      </c>
      <c r="P5" s="1"/>
      <c r="Q5" s="1"/>
      <c r="R5" s="1"/>
    </row>
    <row r="6" spans="1:18" ht="26.4">
      <c r="A6" s="55" t="s">
        <v>165</v>
      </c>
      <c r="B6" s="55" t="s">
        <v>166</v>
      </c>
      <c r="C6" s="74">
        <v>5</v>
      </c>
      <c r="D6" s="74">
        <v>12</v>
      </c>
      <c r="E6" s="61">
        <v>1229.8800000000001</v>
      </c>
      <c r="F6" s="61">
        <f>IFERROR(E6/C6,0)</f>
        <v>245.97600000000003</v>
      </c>
      <c r="G6" s="75">
        <v>45430</v>
      </c>
      <c r="H6" s="75">
        <v>45737</v>
      </c>
      <c r="I6" s="74">
        <f>RANK(E6,$E$5:$E$54,0)+COUNTIF($E$5:E6,E6)-1</f>
        <v>44</v>
      </c>
      <c r="J6" s="76" t="str">
        <f>IF(E6&gt;=$O$4,"High-Value",IF(E6&gt;=$O$5,"Mid-Value","Low-Value"))</f>
        <v>Low-Value</v>
      </c>
      <c r="K6" s="63">
        <f>IFERROR(E6/SUM($E$5:$E$54),0)</f>
        <v>5.3661448825085747E-3</v>
      </c>
      <c r="L6" s="76" t="str">
        <f>IF(C6&gt;1,"Repeat","One-time")</f>
        <v>Repeat</v>
      </c>
      <c r="M6" s="1"/>
      <c r="N6" s="1"/>
      <c r="O6" s="1"/>
      <c r="P6" s="1"/>
      <c r="Q6" s="1"/>
      <c r="R6" s="1"/>
    </row>
    <row r="7" spans="1:18" ht="26.4">
      <c r="A7" s="55" t="s">
        <v>79</v>
      </c>
      <c r="B7" s="55" t="s">
        <v>80</v>
      </c>
      <c r="C7" s="74">
        <v>9</v>
      </c>
      <c r="D7" s="74">
        <v>26</v>
      </c>
      <c r="E7" s="61">
        <v>6169.74</v>
      </c>
      <c r="F7" s="61">
        <f>IFERROR(E7/C7,0)</f>
        <v>685.52666666666664</v>
      </c>
      <c r="G7" s="75">
        <v>45400</v>
      </c>
      <c r="H7" s="75">
        <v>45707</v>
      </c>
      <c r="I7" s="74">
        <f>RANK(E7,$E$5:$E$54,0)+COUNTIF($E$5:E7,E7)-1</f>
        <v>14</v>
      </c>
      <c r="J7" s="76" t="str">
        <f>IF(E7&gt;=$O$4,"High-Value",IF(E7&gt;=$O$5,"Mid-Value","Low-Value"))</f>
        <v>Mid-Value</v>
      </c>
      <c r="K7" s="63">
        <f>IFERROR(E7/SUM($E$5:$E$54),0)</f>
        <v>2.6919470783660561E-2</v>
      </c>
      <c r="L7" s="76" t="str">
        <f>IF(C7&gt;1,"Repeat","One-time")</f>
        <v>Repeat</v>
      </c>
      <c r="M7" s="1"/>
      <c r="N7" s="22" t="s">
        <v>486</v>
      </c>
      <c r="O7" s="23"/>
      <c r="P7" s="23"/>
      <c r="Q7" s="23"/>
      <c r="R7" s="23"/>
    </row>
    <row r="8" spans="1:18" ht="26.4">
      <c r="A8" s="55" t="s">
        <v>187</v>
      </c>
      <c r="B8" s="55" t="s">
        <v>188</v>
      </c>
      <c r="C8" s="74">
        <v>5</v>
      </c>
      <c r="D8" s="74">
        <v>19</v>
      </c>
      <c r="E8" s="61">
        <v>5499.81</v>
      </c>
      <c r="F8" s="61">
        <f>IFERROR(E8/C8,0)</f>
        <v>1099.962</v>
      </c>
      <c r="G8" s="75">
        <v>45446</v>
      </c>
      <c r="H8" s="75">
        <v>45619</v>
      </c>
      <c r="I8" s="74">
        <f>RANK(E8,$E$5:$E$54,0)+COUNTIF($E$5:E8,E8)-1</f>
        <v>19</v>
      </c>
      <c r="J8" s="76" t="str">
        <f>IF(E8&gt;=$O$4,"High-Value",IF(E8&gt;=$O$5,"Mid-Value","Low-Value"))</f>
        <v>Mid-Value</v>
      </c>
      <c r="K8" s="63">
        <f>IFERROR(E8/SUM($E$5:$E$54),0)</f>
        <v>2.3996468993942081E-2</v>
      </c>
      <c r="L8" s="76" t="str">
        <f>IF(C8&gt;1,"Repeat","One-time")</f>
        <v>Repeat</v>
      </c>
      <c r="M8" s="1"/>
      <c r="N8" s="43" t="s">
        <v>487</v>
      </c>
      <c r="O8" s="43" t="s">
        <v>22</v>
      </c>
      <c r="P8" s="43" t="s">
        <v>23</v>
      </c>
      <c r="Q8" s="43" t="s">
        <v>25</v>
      </c>
      <c r="R8" s="43" t="s">
        <v>488</v>
      </c>
    </row>
    <row r="9" spans="1:18" ht="26.4">
      <c r="A9" s="55" t="s">
        <v>337</v>
      </c>
      <c r="B9" s="55" t="s">
        <v>338</v>
      </c>
      <c r="C9" s="74">
        <v>1</v>
      </c>
      <c r="D9" s="74">
        <v>3</v>
      </c>
      <c r="E9" s="61">
        <v>179.97</v>
      </c>
      <c r="F9" s="61">
        <f>IFERROR(E9/C9,0)</f>
        <v>179.97</v>
      </c>
      <c r="G9" s="75">
        <v>45635</v>
      </c>
      <c r="H9" s="75">
        <v>45635</v>
      </c>
      <c r="I9" s="74">
        <f>RANK(E9,$E$5:$E$54,0)+COUNTIF($E$5:E9,E9)-1</f>
        <v>50</v>
      </c>
      <c r="J9" s="76" t="str">
        <f>IF(E9&gt;=$O$4,"High-Value",IF(E9&gt;=$O$5,"Mid-Value","Low-Value"))</f>
        <v>Low-Value</v>
      </c>
      <c r="K9" s="63">
        <f>IFERROR(E9/SUM($E$5:$E$54),0)</f>
        <v>7.8523522173307007E-4</v>
      </c>
      <c r="L9" s="76" t="str">
        <f>IF(C9&gt;1,"Repeat","One-time")</f>
        <v>One-time</v>
      </c>
      <c r="M9" s="1"/>
      <c r="N9" s="76">
        <v>1</v>
      </c>
      <c r="O9" s="55" t="str">
        <f>_xlfn.SINGLE(INDEX($B$5:$B$54,MATCH(N9,$I$5:$I$54,0)))</f>
        <v>Mark Carter</v>
      </c>
      <c r="P9" s="61">
        <f>_xlfn.SINGLE(INDEX($E$5:$E$54,MATCH(N9,$I$5:$I$54,0)))</f>
        <v>15659.65</v>
      </c>
      <c r="Q9" s="74">
        <f>_xlfn.SINGLE(INDEX($C$5:$C$54,MATCH(N9,$I$5:$I$54,0)))</f>
        <v>12</v>
      </c>
      <c r="R9" s="76" t="str">
        <f>_xlfn.SINGLE(INDEX($J$5:$J$54,MATCH(N9,$I$5:$I$54,0)))</f>
        <v>High-Value</v>
      </c>
    </row>
    <row r="10" spans="1:18" ht="26.4">
      <c r="A10" s="55" t="s">
        <v>162</v>
      </c>
      <c r="B10" s="55" t="s">
        <v>163</v>
      </c>
      <c r="C10" s="74">
        <v>5</v>
      </c>
      <c r="D10" s="74">
        <v>20</v>
      </c>
      <c r="E10" s="61">
        <v>2039.8</v>
      </c>
      <c r="F10" s="61">
        <f>IFERROR(E10/C10,0)</f>
        <v>407.96</v>
      </c>
      <c r="G10" s="75">
        <v>45428</v>
      </c>
      <c r="H10" s="75">
        <v>45676</v>
      </c>
      <c r="I10" s="74">
        <f>RANK(E10,$E$5:$E$54,0)+COUNTIF($E$5:E10,E10)-1</f>
        <v>36</v>
      </c>
      <c r="J10" s="76" t="str">
        <f>IF(E10&gt;=$O$4,"High-Value",IF(E10&gt;=$O$5,"Mid-Value","Low-Value"))</f>
        <v>Low-Value</v>
      </c>
      <c r="K10" s="63">
        <f>IFERROR(E10/SUM($E$5:$E$54),0)</f>
        <v>8.8999433532873044E-3</v>
      </c>
      <c r="L10" s="76" t="str">
        <f>IF(C10&gt;1,"Repeat","One-time")</f>
        <v>Repeat</v>
      </c>
      <c r="M10" s="1"/>
      <c r="N10" s="76">
        <v>2</v>
      </c>
      <c r="O10" s="55" t="str">
        <f>_xlfn.SINGLE(INDEX($B$5:$B$54,MATCH(N10,$I$5:$I$54,0)))</f>
        <v>Edward Mitchell</v>
      </c>
      <c r="P10" s="61">
        <f>_xlfn.SINGLE(INDEX($E$5:$E$54,MATCH(N10,$I$5:$I$54,0)))</f>
        <v>11919.77</v>
      </c>
      <c r="Q10" s="74">
        <f>_xlfn.SINGLE(INDEX($C$5:$C$54,MATCH(N10,$I$5:$I$54,0)))</f>
        <v>6</v>
      </c>
      <c r="R10" s="76" t="str">
        <f>_xlfn.SINGLE(INDEX($J$5:$J$54,MATCH(N10,$I$5:$I$54,0)))</f>
        <v>High-Value</v>
      </c>
    </row>
    <row r="11" spans="1:18" ht="26.4">
      <c r="A11" s="55" t="s">
        <v>215</v>
      </c>
      <c r="B11" s="55" t="s">
        <v>216</v>
      </c>
      <c r="C11" s="74">
        <v>6</v>
      </c>
      <c r="D11" s="74">
        <v>16</v>
      </c>
      <c r="E11" s="61">
        <v>1809.84</v>
      </c>
      <c r="F11" s="61">
        <f>IFERROR(E11/C11,0)</f>
        <v>301.64</v>
      </c>
      <c r="G11" s="75">
        <v>45476</v>
      </c>
      <c r="H11" s="75">
        <v>45648</v>
      </c>
      <c r="I11" s="74">
        <f>RANK(E11,$E$5:$E$54,0)+COUNTIF($E$5:E11,E11)-1</f>
        <v>39</v>
      </c>
      <c r="J11" s="76" t="str">
        <f>IF(E11&gt;=$O$4,"High-Value",IF(E11&gt;=$O$5,"Mid-Value","Low-Value"))</f>
        <v>Low-Value</v>
      </c>
      <c r="K11" s="63">
        <f>IFERROR(E11/SUM($E$5:$E$54),0)</f>
        <v>7.8965945085368635E-3</v>
      </c>
      <c r="L11" s="76" t="str">
        <f>IF(C11&gt;1,"Repeat","One-time")</f>
        <v>Repeat</v>
      </c>
      <c r="M11" s="1"/>
      <c r="N11" s="76">
        <v>3</v>
      </c>
      <c r="O11" s="55" t="str">
        <f>_xlfn.SINGLE(INDEX($B$5:$B$54,MATCH(N11,$I$5:$I$54,0)))</f>
        <v>Barbara Young</v>
      </c>
      <c r="P11" s="61">
        <f>_xlfn.SINGLE(INDEX($E$5:$E$54,MATCH(N11,$I$5:$I$54,0)))</f>
        <v>10649.8</v>
      </c>
      <c r="Q11" s="74">
        <f>_xlfn.SINGLE(INDEX($C$5:$C$54,MATCH(N11,$I$5:$I$54,0)))</f>
        <v>5</v>
      </c>
      <c r="R11" s="76" t="str">
        <f>_xlfn.SINGLE(INDEX($J$5:$J$54,MATCH(N11,$I$5:$I$54,0)))</f>
        <v>High-Value</v>
      </c>
    </row>
    <row r="12" spans="1:18" ht="26.4">
      <c r="A12" s="55" t="s">
        <v>174</v>
      </c>
      <c r="B12" s="55" t="s">
        <v>175</v>
      </c>
      <c r="C12" s="74">
        <v>4</v>
      </c>
      <c r="D12" s="74">
        <v>15</v>
      </c>
      <c r="E12" s="61">
        <v>4739.8500000000004</v>
      </c>
      <c r="F12" s="61">
        <f>IFERROR(E12/C12,0)</f>
        <v>1184.9625000000001</v>
      </c>
      <c r="G12" s="75">
        <v>45440</v>
      </c>
      <c r="H12" s="75">
        <v>45635</v>
      </c>
      <c r="I12" s="74">
        <f>RANK(E12,$E$5:$E$54,0)+COUNTIF($E$5:E12,E12)-1</f>
        <v>24</v>
      </c>
      <c r="J12" s="76" t="str">
        <f>IF(E12&gt;=$O$4,"High-Value",IF(E12&gt;=$O$5,"Mid-Value","Low-Value"))</f>
        <v>Mid-Value</v>
      </c>
      <c r="K12" s="63">
        <f>IFERROR(E12/SUM($E$5:$E$54),0)</f>
        <v>2.0680653251828038E-2</v>
      </c>
      <c r="L12" s="76" t="str">
        <f>IF(C12&gt;1,"Repeat","One-time")</f>
        <v>Repeat</v>
      </c>
      <c r="M12" s="1"/>
      <c r="N12" s="76">
        <v>4</v>
      </c>
      <c r="O12" s="55" t="str">
        <f>_xlfn.SINGLE(INDEX($B$5:$B$54,MATCH(N12,$I$5:$I$54,0)))</f>
        <v>Patricia Moore</v>
      </c>
      <c r="P12" s="61">
        <f>_xlfn.SINGLE(INDEX($E$5:$E$54,MATCH(N12,$I$5:$I$54,0)))</f>
        <v>9799.73</v>
      </c>
      <c r="Q12" s="74">
        <f>_xlfn.SINGLE(INDEX($C$5:$C$54,MATCH(N12,$I$5:$I$54,0)))</f>
        <v>8</v>
      </c>
      <c r="R12" s="76" t="str">
        <f>_xlfn.SINGLE(INDEX($J$5:$J$54,MATCH(N12,$I$5:$I$54,0)))</f>
        <v>High-Value</v>
      </c>
    </row>
    <row r="13" spans="1:18" ht="26.4">
      <c r="A13" s="55" t="s">
        <v>96</v>
      </c>
      <c r="B13" s="55" t="s">
        <v>97</v>
      </c>
      <c r="C13" s="74">
        <v>5</v>
      </c>
      <c r="D13" s="74">
        <v>10</v>
      </c>
      <c r="E13" s="61">
        <v>3509.9</v>
      </c>
      <c r="F13" s="61">
        <f>IFERROR(E13/C13,0)</f>
        <v>701.98</v>
      </c>
      <c r="G13" s="75">
        <v>45405</v>
      </c>
      <c r="H13" s="75">
        <v>45756</v>
      </c>
      <c r="I13" s="74">
        <f>RANK(E13,$E$5:$E$54,0)+COUNTIF($E$5:E13,E13)-1</f>
        <v>32</v>
      </c>
      <c r="J13" s="76" t="str">
        <f>IF(E13&gt;=$O$4,"High-Value",IF(E13&gt;=$O$5,"Mid-Value","Low-Value"))</f>
        <v>Low-Value</v>
      </c>
      <c r="K13" s="63">
        <f>IFERROR(E13/SUM($E$5:$E$54),0)</f>
        <v>1.5314202949163209E-2</v>
      </c>
      <c r="L13" s="76" t="str">
        <f>IF(C13&gt;1,"Repeat","One-time")</f>
        <v>Repeat</v>
      </c>
      <c r="M13" s="1"/>
      <c r="N13" s="76">
        <v>5</v>
      </c>
      <c r="O13" s="55" t="str">
        <f>_xlfn.SINGLE(INDEX($B$5:$B$54,MATCH(N13,$I$5:$I$54,0)))</f>
        <v>Paul Baker</v>
      </c>
      <c r="P13" s="61">
        <f>_xlfn.SINGLE(INDEX($E$5:$E$54,MATCH(N13,$I$5:$I$54,0)))</f>
        <v>8309.74</v>
      </c>
      <c r="Q13" s="74">
        <f>_xlfn.SINGLE(INDEX($C$5:$C$54,MATCH(N13,$I$5:$I$54,0)))</f>
        <v>8</v>
      </c>
      <c r="R13" s="76" t="str">
        <f>_xlfn.SINGLE(INDEX($J$5:$J$54,MATCH(N13,$I$5:$I$54,0)))</f>
        <v>High-Value</v>
      </c>
    </row>
    <row r="14" spans="1:18" ht="26.4">
      <c r="A14" s="55" t="s">
        <v>125</v>
      </c>
      <c r="B14" s="55" t="s">
        <v>126</v>
      </c>
      <c r="C14" s="74">
        <v>4</v>
      </c>
      <c r="D14" s="74">
        <v>7</v>
      </c>
      <c r="E14" s="61">
        <v>1909.93</v>
      </c>
      <c r="F14" s="61">
        <f>IFERROR(E14/C14,0)</f>
        <v>477.48250000000002</v>
      </c>
      <c r="G14" s="75">
        <v>45410</v>
      </c>
      <c r="H14" s="75">
        <v>45604</v>
      </c>
      <c r="I14" s="74">
        <f>RANK(E14,$E$5:$E$54,0)+COUNTIF($E$5:E14,E14)-1</f>
        <v>38</v>
      </c>
      <c r="J14" s="76" t="str">
        <f>IF(E14&gt;=$O$4,"High-Value",IF(E14&gt;=$O$5,"Mid-Value","Low-Value"))</f>
        <v>Low-Value</v>
      </c>
      <c r="K14" s="63">
        <f>IFERROR(E14/SUM($E$5:$E$54),0)</f>
        <v>8.3333017005314362E-3</v>
      </c>
      <c r="L14" s="76" t="str">
        <f>IF(C14&gt;1,"Repeat","One-time")</f>
        <v>Repeat</v>
      </c>
      <c r="M14" s="1"/>
      <c r="N14" s="76">
        <v>6</v>
      </c>
      <c r="O14" s="55" t="str">
        <f>_xlfn.SINGLE(INDEX($B$5:$B$54,MATCH(N14,$I$5:$I$54,0)))</f>
        <v>Dorothy Nelson</v>
      </c>
      <c r="P14" s="61">
        <f>_xlfn.SINGLE(INDEX($E$5:$E$54,MATCH(N14,$I$5:$I$54,0)))</f>
        <v>8269.7900000000009</v>
      </c>
      <c r="Q14" s="74">
        <f>_xlfn.SINGLE(INDEX($C$5:$C$54,MATCH(N14,$I$5:$I$54,0)))</f>
        <v>6</v>
      </c>
      <c r="R14" s="76" t="str">
        <f>_xlfn.SINGLE(INDEX($J$5:$J$54,MATCH(N14,$I$5:$I$54,0)))</f>
        <v>High-Value</v>
      </c>
    </row>
    <row r="15" spans="1:18" ht="26.4">
      <c r="A15" s="55" t="s">
        <v>285</v>
      </c>
      <c r="B15" s="55" t="s">
        <v>286</v>
      </c>
      <c r="C15" s="74">
        <v>3</v>
      </c>
      <c r="D15" s="74">
        <v>9</v>
      </c>
      <c r="E15" s="61">
        <v>4749.91</v>
      </c>
      <c r="F15" s="61">
        <f>IFERROR(E15/C15,0)</f>
        <v>1583.3033333333333</v>
      </c>
      <c r="G15" s="75">
        <v>45554</v>
      </c>
      <c r="H15" s="75">
        <v>45686</v>
      </c>
      <c r="I15" s="74">
        <f>RANK(E15,$E$5:$E$54,0)+COUNTIF($E$5:E15,E15)-1</f>
        <v>23</v>
      </c>
      <c r="J15" s="76" t="str">
        <f>IF(E15&gt;=$O$4,"High-Value",IF(E15&gt;=$O$5,"Mid-Value","Low-Value"))</f>
        <v>Mid-Value</v>
      </c>
      <c r="K15" s="63">
        <f>IFERROR(E15/SUM($E$5:$E$54),0)</f>
        <v>2.0724546491427052E-2</v>
      </c>
      <c r="L15" s="76" t="str">
        <f>IF(C15&gt;1,"Repeat","One-time")</f>
        <v>Repeat</v>
      </c>
      <c r="M15" s="1"/>
      <c r="N15" s="76">
        <v>7</v>
      </c>
      <c r="O15" s="55" t="str">
        <f>_xlfn.SINGLE(INDEX($B$5:$B$54,MATCH(N15,$I$5:$I$54,0)))</f>
        <v>Karen Hill</v>
      </c>
      <c r="P15" s="61">
        <f>_xlfn.SINGLE(INDEX($E$5:$E$54,MATCH(N15,$I$5:$I$54,0)))</f>
        <v>8009.77</v>
      </c>
      <c r="Q15" s="74">
        <f>_xlfn.SINGLE(INDEX($C$5:$C$54,MATCH(N15,$I$5:$I$54,0)))</f>
        <v>8</v>
      </c>
      <c r="R15" s="76" t="str">
        <f>_xlfn.SINGLE(INDEX($J$5:$J$54,MATCH(N15,$I$5:$I$54,0)))</f>
        <v>High-Value</v>
      </c>
    </row>
    <row r="16" spans="1:18" ht="26.4">
      <c r="A16" s="55" t="s">
        <v>134</v>
      </c>
      <c r="B16" s="55" t="s">
        <v>30</v>
      </c>
      <c r="C16" s="74">
        <v>8</v>
      </c>
      <c r="D16" s="74">
        <v>27</v>
      </c>
      <c r="E16" s="61">
        <v>9799.73</v>
      </c>
      <c r="F16" s="61">
        <f>IFERROR(E16/C16,0)</f>
        <v>1224.9662499999999</v>
      </c>
      <c r="G16" s="75">
        <v>45413</v>
      </c>
      <c r="H16" s="75">
        <v>45607</v>
      </c>
      <c r="I16" s="74">
        <f>RANK(E16,$E$5:$E$54,0)+COUNTIF($E$5:E16,E16)-1</f>
        <v>4</v>
      </c>
      <c r="J16" s="76" t="str">
        <f>IF(E16&gt;=$O$4,"High-Value",IF(E16&gt;=$O$5,"Mid-Value","Low-Value"))</f>
        <v>High-Value</v>
      </c>
      <c r="K16" s="63">
        <f>IFERROR(E16/SUM($E$5:$E$54),0)</f>
        <v>4.2757643826605643E-2</v>
      </c>
      <c r="L16" s="76" t="str">
        <f>IF(C16&gt;1,"Repeat","One-time")</f>
        <v>Repeat</v>
      </c>
      <c r="M16" s="1"/>
      <c r="N16" s="76">
        <v>8</v>
      </c>
      <c r="O16" s="55" t="str">
        <f>_xlfn.SINGLE(INDEX($B$5:$B$54,MATCH(N16,$I$5:$I$54,0)))</f>
        <v>Daniel King</v>
      </c>
      <c r="P16" s="61">
        <f>_xlfn.SINGLE(INDEX($E$5:$E$54,MATCH(N16,$I$5:$I$54,0)))</f>
        <v>7309.8</v>
      </c>
      <c r="Q16" s="74">
        <f>_xlfn.SINGLE(INDEX($C$5:$C$54,MATCH(N16,$I$5:$I$54,0)))</f>
        <v>7</v>
      </c>
      <c r="R16" s="76" t="str">
        <f>_xlfn.SINGLE(INDEX($J$5:$J$54,MATCH(N16,$I$5:$I$54,0)))</f>
        <v>High-Value</v>
      </c>
    </row>
    <row r="17" spans="1:18" ht="26.4">
      <c r="A17" s="55" t="s">
        <v>61</v>
      </c>
      <c r="B17" s="55" t="s">
        <v>62</v>
      </c>
      <c r="C17" s="74">
        <v>5</v>
      </c>
      <c r="D17" s="74">
        <v>16</v>
      </c>
      <c r="E17" s="61">
        <v>6949.84</v>
      </c>
      <c r="F17" s="61">
        <f>IFERROR(E17/C17,0)</f>
        <v>1389.9680000000001</v>
      </c>
      <c r="G17" s="75">
        <v>45396</v>
      </c>
      <c r="H17" s="75">
        <v>45627</v>
      </c>
      <c r="I17" s="74">
        <f>RANK(E17,$E$5:$E$54,0)+COUNTIF($E$5:E17,E17)-1</f>
        <v>10</v>
      </c>
      <c r="J17" s="76" t="str">
        <f>IF(E17&gt;=$O$4,"High-Value",IF(E17&gt;=$O$5,"Mid-Value","Low-Value"))</f>
        <v>High-Value</v>
      </c>
      <c r="K17" s="63">
        <f>IFERROR(E17/SUM($E$5:$E$54),0)</f>
        <v>3.0323160267874422E-2</v>
      </c>
      <c r="L17" s="76" t="str">
        <f>IF(C17&gt;1,"Repeat","One-time")</f>
        <v>Repeat</v>
      </c>
      <c r="M17" s="1"/>
      <c r="N17" s="76">
        <v>9</v>
      </c>
      <c r="O17" s="55" t="str">
        <f>_xlfn.SINGLE(INDEX($B$5:$B$54,MATCH(N17,$I$5:$I$54,0)))</f>
        <v>Lawrence Reed</v>
      </c>
      <c r="P17" s="61">
        <f>_xlfn.SINGLE(INDEX($E$5:$E$54,MATCH(N17,$I$5:$I$54,0)))</f>
        <v>6989.77</v>
      </c>
      <c r="Q17" s="74">
        <f>_xlfn.SINGLE(INDEX($C$5:$C$54,MATCH(N17,$I$5:$I$54,0)))</f>
        <v>8</v>
      </c>
      <c r="R17" s="76" t="str">
        <f>_xlfn.SINGLE(INDEX($J$5:$J$54,MATCH(N17,$I$5:$I$54,0)))</f>
        <v>High-Value</v>
      </c>
    </row>
    <row r="18" spans="1:18" ht="26.4">
      <c r="A18" s="55" t="s">
        <v>146</v>
      </c>
      <c r="B18" s="55" t="s">
        <v>147</v>
      </c>
      <c r="C18" s="74">
        <v>4</v>
      </c>
      <c r="D18" s="74">
        <v>10</v>
      </c>
      <c r="E18" s="61">
        <v>1289.9000000000001</v>
      </c>
      <c r="F18" s="61">
        <f>IFERROR(E18/C18,0)</f>
        <v>322.47500000000002</v>
      </c>
      <c r="G18" s="75">
        <v>45424</v>
      </c>
      <c r="H18" s="75">
        <v>45648</v>
      </c>
      <c r="I18" s="74">
        <f>RANK(E18,$E$5:$E$54,0)+COUNTIF($E$5:E18,E18)-1</f>
        <v>43</v>
      </c>
      <c r="J18" s="76" t="str">
        <f>IF(E18&gt;=$O$4,"High-Value",IF(E18&gt;=$O$5,"Mid-Value","Low-Value"))</f>
        <v>Low-Value</v>
      </c>
      <c r="K18" s="63">
        <f>IFERROR(E18/SUM($E$5:$E$54),0)</f>
        <v>5.6280208507722791E-3</v>
      </c>
      <c r="L18" s="76" t="str">
        <f>IF(C18&gt;1,"Repeat","One-time")</f>
        <v>Repeat</v>
      </c>
      <c r="M18" s="1"/>
      <c r="N18" s="76">
        <v>10</v>
      </c>
      <c r="O18" s="55" t="str">
        <f>_xlfn.SINGLE(INDEX($B$5:$B$54,MATCH(N18,$I$5:$I$54,0)))</f>
        <v>Joseph Jackson</v>
      </c>
      <c r="P18" s="61">
        <f>_xlfn.SINGLE(INDEX($E$5:$E$54,MATCH(N18,$I$5:$I$54,0)))</f>
        <v>6949.84</v>
      </c>
      <c r="Q18" s="74">
        <f>_xlfn.SINGLE(INDEX($C$5:$C$54,MATCH(N18,$I$5:$I$54,0)))</f>
        <v>5</v>
      </c>
      <c r="R18" s="76" t="str">
        <f>_xlfn.SINGLE(INDEX($J$5:$J$54,MATCH(N18,$I$5:$I$54,0)))</f>
        <v>High-Value</v>
      </c>
    </row>
    <row r="19" spans="1:18" ht="26.4">
      <c r="A19" s="55" t="s">
        <v>292</v>
      </c>
      <c r="B19" s="55" t="s">
        <v>293</v>
      </c>
      <c r="C19" s="74">
        <v>3</v>
      </c>
      <c r="D19" s="74">
        <v>7</v>
      </c>
      <c r="E19" s="61">
        <v>739.93</v>
      </c>
      <c r="F19" s="61">
        <f>IFERROR(E19/C19,0)</f>
        <v>246.64333333333332</v>
      </c>
      <c r="G19" s="75">
        <v>45564</v>
      </c>
      <c r="H19" s="75">
        <v>45715</v>
      </c>
      <c r="I19" s="74">
        <f>RANK(E19,$E$5:$E$54,0)+COUNTIF($E$5:E19,E19)-1</f>
        <v>46</v>
      </c>
      <c r="J19" s="76" t="str">
        <f>IF(E19&gt;=$O$4,"High-Value",IF(E19&gt;=$O$5,"Mid-Value","Low-Value"))</f>
        <v>Low-Value</v>
      </c>
      <c r="K19" s="63">
        <f>IFERROR(E19/SUM($E$5:$E$54),0)</f>
        <v>3.2284219459740538E-3</v>
      </c>
      <c r="L19" s="76" t="str">
        <f>IF(C19&gt;1,"Repeat","One-time")</f>
        <v>Repeat</v>
      </c>
      <c r="M19" s="1"/>
      <c r="N19" s="1"/>
      <c r="O19" s="1"/>
      <c r="P19" s="1"/>
      <c r="Q19" s="1"/>
      <c r="R19" s="1"/>
    </row>
    <row r="20" spans="1:18" ht="26.4">
      <c r="A20" s="55" t="s">
        <v>244</v>
      </c>
      <c r="B20" s="55" t="s">
        <v>245</v>
      </c>
      <c r="C20" s="74">
        <v>4</v>
      </c>
      <c r="D20" s="74">
        <v>14</v>
      </c>
      <c r="E20" s="61">
        <v>3649.86</v>
      </c>
      <c r="F20" s="61">
        <f>IFERROR(E20/C20,0)</f>
        <v>912.46500000000003</v>
      </c>
      <c r="G20" s="75">
        <v>45509</v>
      </c>
      <c r="H20" s="75">
        <v>45711</v>
      </c>
      <c r="I20" s="74">
        <f>RANK(E20,$E$5:$E$54,0)+COUNTIF($E$5:E20,E20)-1</f>
        <v>31</v>
      </c>
      <c r="J20" s="76" t="str">
        <f>IF(E20&gt;=$O$4,"High-Value",IF(E20&gt;=$O$5,"Mid-Value","Low-Value"))</f>
        <v>Low-Value</v>
      </c>
      <c r="K20" s="63">
        <f>IFERROR(E20/SUM($E$5:$E$54),0)</f>
        <v>1.5924868735870772E-2</v>
      </c>
      <c r="L20" s="76" t="str">
        <f>IF(C20&gt;1,"Repeat","One-time")</f>
        <v>Repeat</v>
      </c>
      <c r="M20" s="1"/>
      <c r="N20" s="1"/>
      <c r="O20" s="1"/>
      <c r="P20" s="1"/>
      <c r="Q20" s="1"/>
      <c r="R20" s="1"/>
    </row>
    <row r="21" spans="1:18" ht="26.4">
      <c r="A21" s="55" t="s">
        <v>92</v>
      </c>
      <c r="B21" s="55" t="s">
        <v>93</v>
      </c>
      <c r="C21" s="74">
        <v>9</v>
      </c>
      <c r="D21" s="74">
        <v>27</v>
      </c>
      <c r="E21" s="61">
        <v>5089.7299999999996</v>
      </c>
      <c r="F21" s="61">
        <f>IFERROR(E21/C21,0)</f>
        <v>565.52555555555546</v>
      </c>
      <c r="G21" s="75">
        <v>45403</v>
      </c>
      <c r="H21" s="75">
        <v>45724</v>
      </c>
      <c r="I21" s="74">
        <f>RANK(E21,$E$5:$E$54,0)+COUNTIF($E$5:E21,E21)-1</f>
        <v>20</v>
      </c>
      <c r="J21" s="76" t="str">
        <f>IF(E21&gt;=$O$4,"High-Value",IF(E21&gt;=$O$5,"Mid-Value","Low-Value"))</f>
        <v>Mid-Value</v>
      </c>
      <c r="K21" s="63">
        <f>IFERROR(E21/SUM($E$5:$E$54),0)</f>
        <v>2.220723045569516E-2</v>
      </c>
      <c r="L21" s="76" t="str">
        <f>IF(C21&gt;1,"Repeat","One-time")</f>
        <v>Repeat</v>
      </c>
      <c r="M21" s="1"/>
      <c r="N21" s="67" t="s">
        <v>489</v>
      </c>
      <c r="O21" s="68"/>
      <c r="P21" s="68"/>
      <c r="Q21" s="68"/>
      <c r="R21" s="1"/>
    </row>
    <row r="22" spans="1:18" ht="26.4">
      <c r="A22" s="55" t="s">
        <v>132</v>
      </c>
      <c r="B22" s="55" t="s">
        <v>28</v>
      </c>
      <c r="C22" s="74">
        <v>5</v>
      </c>
      <c r="D22" s="74">
        <v>20</v>
      </c>
      <c r="E22" s="61">
        <v>10649.8</v>
      </c>
      <c r="F22" s="61">
        <f>IFERROR(E22/C22,0)</f>
        <v>2129.96</v>
      </c>
      <c r="G22" s="75">
        <v>45412</v>
      </c>
      <c r="H22" s="75">
        <v>45708</v>
      </c>
      <c r="I22" s="74">
        <f>RANK(E22,$E$5:$E$54,0)+COUNTIF($E$5:E22,E22)-1</f>
        <v>3</v>
      </c>
      <c r="J22" s="76" t="str">
        <f>IF(E22&gt;=$O$4,"High-Value",IF(E22&gt;=$O$5,"Mid-Value","Low-Value"))</f>
        <v>High-Value</v>
      </c>
      <c r="K22" s="63">
        <f>IFERROR(E22/SUM($E$5:$E$54),0)</f>
        <v>4.6466622572722389E-2</v>
      </c>
      <c r="L22" s="76" t="str">
        <f>IF(C22&gt;1,"Repeat","One-time")</f>
        <v>Repeat</v>
      </c>
      <c r="M22" s="1"/>
      <c r="N22" s="43" t="s">
        <v>488</v>
      </c>
      <c r="O22" s="43" t="s">
        <v>490</v>
      </c>
      <c r="P22" s="43" t="s">
        <v>23</v>
      </c>
      <c r="Q22" s="43" t="s">
        <v>452</v>
      </c>
      <c r="R22" s="1"/>
    </row>
    <row r="23" spans="1:18" ht="26.4">
      <c r="A23" s="55" t="s">
        <v>180</v>
      </c>
      <c r="B23" s="55" t="s">
        <v>181</v>
      </c>
      <c r="C23" s="74">
        <v>7</v>
      </c>
      <c r="D23" s="74">
        <v>20</v>
      </c>
      <c r="E23" s="61">
        <v>7309.8</v>
      </c>
      <c r="F23" s="61">
        <f>IFERROR(E23/C23,0)</f>
        <v>1044.257142857143</v>
      </c>
      <c r="G23" s="75">
        <v>45443</v>
      </c>
      <c r="H23" s="75">
        <v>45660</v>
      </c>
      <c r="I23" s="74">
        <f>RANK(E23,$E$5:$E$54,0)+COUNTIF($E$5:E23,E23)-1</f>
        <v>8</v>
      </c>
      <c r="J23" s="76" t="str">
        <f>IF(E23&gt;=$O$4,"High-Value",IF(E23&gt;=$O$5,"Mid-Value","Low-Value"))</f>
        <v>High-Value</v>
      </c>
      <c r="K23" s="63">
        <f>IFERROR(E23/SUM($E$5:$E$54),0)</f>
        <v>3.1893717974242349E-2</v>
      </c>
      <c r="L23" s="76" t="str">
        <f>IF(C23&gt;1,"Repeat","One-time")</f>
        <v>Repeat</v>
      </c>
      <c r="M23" s="1"/>
      <c r="N23" s="55" t="s">
        <v>491</v>
      </c>
      <c r="O23" s="74">
        <f>COUNTIF($J$5:$J$54,N23)</f>
        <v>13</v>
      </c>
      <c r="P23" s="61">
        <f>SUMIF($J$5:$J$54,N23,$E$5:$E$54)</f>
        <v>113057.15</v>
      </c>
      <c r="Q23" s="63">
        <f>IFERROR(P23/SUM($P$23:$P$25),0)</f>
        <v>0.49328474884013418</v>
      </c>
      <c r="R23" s="1"/>
    </row>
    <row r="24" spans="1:18" ht="26.4">
      <c r="A24" s="55" t="s">
        <v>218</v>
      </c>
      <c r="B24" s="55" t="s">
        <v>219</v>
      </c>
      <c r="C24" s="74">
        <v>4</v>
      </c>
      <c r="D24" s="74">
        <v>12</v>
      </c>
      <c r="E24" s="61">
        <v>2099.88</v>
      </c>
      <c r="F24" s="61">
        <f>IFERROR(E24/C24,0)</f>
        <v>524.97</v>
      </c>
      <c r="G24" s="75">
        <v>45481</v>
      </c>
      <c r="H24" s="75">
        <v>45745</v>
      </c>
      <c r="I24" s="74">
        <f>RANK(E24,$E$5:$E$54,0)+COUNTIF($E$5:E24,E24)-1</f>
        <v>35</v>
      </c>
      <c r="J24" s="76" t="str">
        <f>IF(E24&gt;=$O$4,"High-Value",IF(E24&gt;=$O$5,"Mid-Value","Low-Value"))</f>
        <v>Low-Value</v>
      </c>
      <c r="K24" s="63">
        <f>IFERROR(E24/SUM($E$5:$E$54),0)</f>
        <v>9.1620811102563707E-3</v>
      </c>
      <c r="L24" s="76" t="str">
        <f>IF(C24&gt;1,"Repeat","One-time")</f>
        <v>Repeat</v>
      </c>
      <c r="M24" s="1"/>
      <c r="N24" s="55" t="s">
        <v>492</v>
      </c>
      <c r="O24" s="74">
        <f>COUNTIF($J$5:$J$54,N24)</f>
        <v>17</v>
      </c>
      <c r="P24" s="61">
        <f>SUMIF($J$5:$J$54,N24,$E$5:$E$54)</f>
        <v>82527.3</v>
      </c>
      <c r="Q24" s="63">
        <f>IFERROR(P24/SUM($P$23:$P$25),0)</f>
        <v>0.36007858373357554</v>
      </c>
      <c r="R24" s="1"/>
    </row>
    <row r="25" spans="1:18" ht="26.4">
      <c r="A25" s="55" t="s">
        <v>66</v>
      </c>
      <c r="B25" s="55" t="s">
        <v>67</v>
      </c>
      <c r="C25" s="74">
        <v>6</v>
      </c>
      <c r="D25" s="74">
        <v>13</v>
      </c>
      <c r="E25" s="61">
        <v>3259.87</v>
      </c>
      <c r="F25" s="61">
        <f>IFERROR(E25/C25,0)</f>
        <v>543.31166666666661</v>
      </c>
      <c r="G25" s="75">
        <v>45399</v>
      </c>
      <c r="H25" s="75">
        <v>45704</v>
      </c>
      <c r="I25" s="74">
        <f>RANK(E25,$E$5:$E$54,0)+COUNTIF($E$5:E25,E25)-1</f>
        <v>33</v>
      </c>
      <c r="J25" s="76" t="str">
        <f>IF(E25&gt;=$O$4,"High-Value",IF(E25&gt;=$O$5,"Mid-Value","Low-Value"))</f>
        <v>Low-Value</v>
      </c>
      <c r="K25" s="63">
        <f>IFERROR(E25/SUM($E$5:$E$54),0)</f>
        <v>1.4223285782469206E-2</v>
      </c>
      <c r="L25" s="76" t="str">
        <f>IF(C25&gt;1,"Repeat","One-time")</f>
        <v>Repeat</v>
      </c>
      <c r="M25" s="1"/>
      <c r="N25" s="55" t="s">
        <v>493</v>
      </c>
      <c r="O25" s="74">
        <f>COUNTIF($J$5:$J$54,N25)</f>
        <v>20</v>
      </c>
      <c r="P25" s="61">
        <f>SUMIF($J$5:$J$54,N25,$E$5:$E$54)</f>
        <v>33608.019999999997</v>
      </c>
      <c r="Q25" s="63">
        <f>IFERROR(P25/SUM($P$23:$P$25),0)</f>
        <v>0.14663666742629022</v>
      </c>
      <c r="R25" s="1"/>
    </row>
    <row r="26" spans="1:18" ht="26.4">
      <c r="A26" s="55" t="s">
        <v>105</v>
      </c>
      <c r="B26" s="55" t="s">
        <v>106</v>
      </c>
      <c r="C26" s="74">
        <v>4</v>
      </c>
      <c r="D26" s="74">
        <v>11</v>
      </c>
      <c r="E26" s="61">
        <v>1979.89</v>
      </c>
      <c r="F26" s="61">
        <f>IFERROR(E26/C26,0)</f>
        <v>494.97250000000003</v>
      </c>
      <c r="G26" s="75">
        <v>45408</v>
      </c>
      <c r="H26" s="75">
        <v>45682</v>
      </c>
      <c r="I26" s="74">
        <f>RANK(E26,$E$5:$E$54,0)+COUNTIF($E$5:E26,E26)-1</f>
        <v>37</v>
      </c>
      <c r="J26" s="76" t="str">
        <f>IF(E26&gt;=$O$4,"High-Value",IF(E26&gt;=$O$5,"Mid-Value","Low-Value"))</f>
        <v>Low-Value</v>
      </c>
      <c r="K26" s="63">
        <f>IFERROR(E26/SUM($E$5:$E$54),0)</f>
        <v>8.6385473309834315E-3</v>
      </c>
      <c r="L26" s="76" t="str">
        <f>IF(C26&gt;1,"Repeat","One-time")</f>
        <v>Repeat</v>
      </c>
      <c r="M26" s="1"/>
      <c r="N26" s="1"/>
      <c r="O26" s="1"/>
      <c r="P26" s="1"/>
      <c r="Q26" s="1"/>
      <c r="R26" s="1"/>
    </row>
    <row r="27" spans="1:18" ht="26.4">
      <c r="A27" s="55" t="s">
        <v>53</v>
      </c>
      <c r="B27" s="55" t="s">
        <v>32</v>
      </c>
      <c r="C27" s="74">
        <v>8</v>
      </c>
      <c r="D27" s="74">
        <v>26</v>
      </c>
      <c r="E27" s="61">
        <v>8309.74</v>
      </c>
      <c r="F27" s="61">
        <f>IFERROR(E27/C27,0)</f>
        <v>1038.7175</v>
      </c>
      <c r="G27" s="75">
        <v>45393</v>
      </c>
      <c r="H27" s="75">
        <v>45739</v>
      </c>
      <c r="I27" s="74">
        <f>RANK(E27,$E$5:$E$54,0)+COUNTIF($E$5:E27,E27)-1</f>
        <v>5</v>
      </c>
      <c r="J27" s="76" t="str">
        <f>IF(E27&gt;=$O$4,"High-Value",IF(E27&gt;=$O$5,"Mid-Value","Low-Value"))</f>
        <v>High-Value</v>
      </c>
      <c r="K27" s="63">
        <f>IFERROR(E27/SUM($E$5:$E$54),0)</f>
        <v>3.6256601274902267E-2</v>
      </c>
      <c r="L27" s="76" t="str">
        <f>IF(C27&gt;1,"Repeat","One-time")</f>
        <v>Repeat</v>
      </c>
      <c r="M27" s="1"/>
      <c r="N27" s="1"/>
      <c r="O27" s="1"/>
      <c r="P27" s="1"/>
      <c r="Q27" s="1"/>
      <c r="R27" s="1"/>
    </row>
    <row r="28" spans="1:18" ht="26.4">
      <c r="A28" s="55" t="s">
        <v>85</v>
      </c>
      <c r="B28" s="55" t="s">
        <v>86</v>
      </c>
      <c r="C28" s="74">
        <v>6</v>
      </c>
      <c r="D28" s="74">
        <v>21</v>
      </c>
      <c r="E28" s="61">
        <v>8269.7900000000009</v>
      </c>
      <c r="F28" s="61">
        <f>IFERROR(E28/C28,0)</f>
        <v>1378.2983333333334</v>
      </c>
      <c r="G28" s="75">
        <v>45403</v>
      </c>
      <c r="H28" s="75">
        <v>45737</v>
      </c>
      <c r="I28" s="74">
        <f>RANK(E28,$E$5:$E$54,0)+COUNTIF($E$5:E28,E28)-1</f>
        <v>6</v>
      </c>
      <c r="J28" s="76" t="str">
        <f>IF(E28&gt;=$O$4,"High-Value",IF(E28&gt;=$O$5,"Mid-Value","Low-Value"))</f>
        <v>High-Value</v>
      </c>
      <c r="K28" s="63">
        <f>IFERROR(E28/SUM($E$5:$E$54),0)</f>
        <v>3.6082293628582132E-2</v>
      </c>
      <c r="L28" s="76" t="str">
        <f>IF(C28&gt;1,"Repeat","One-time")</f>
        <v>Repeat</v>
      </c>
      <c r="M28" s="1"/>
      <c r="N28" s="69" t="s">
        <v>494</v>
      </c>
      <c r="O28" s="70"/>
      <c r="P28" s="70"/>
      <c r="Q28" s="1"/>
      <c r="R28" s="1"/>
    </row>
    <row r="29" spans="1:18" ht="26.4">
      <c r="A29" s="55" t="s">
        <v>123</v>
      </c>
      <c r="B29" s="55" t="s">
        <v>24</v>
      </c>
      <c r="C29" s="74">
        <v>12</v>
      </c>
      <c r="D29" s="74">
        <v>35</v>
      </c>
      <c r="E29" s="61">
        <v>15659.65</v>
      </c>
      <c r="F29" s="61">
        <f>IFERROR(E29/C29,0)</f>
        <v>1304.9708333333333</v>
      </c>
      <c r="G29" s="75">
        <v>45410</v>
      </c>
      <c r="H29" s="75">
        <v>45686</v>
      </c>
      <c r="I29" s="74">
        <f>RANK(E29,$E$5:$E$54,0)+COUNTIF($E$5:E29,E29)-1</f>
        <v>1</v>
      </c>
      <c r="J29" s="76" t="str">
        <f>IF(E29&gt;=$O$4,"High-Value",IF(E29&gt;=$O$5,"Mid-Value","Low-Value"))</f>
        <v>High-Value</v>
      </c>
      <c r="K29" s="63">
        <f>IFERROR(E29/SUM($E$5:$E$54),0)</f>
        <v>6.8325324998679049E-2</v>
      </c>
      <c r="L29" s="76" t="str">
        <f>IF(C29&gt;1,"Repeat","One-time")</f>
        <v>Repeat</v>
      </c>
      <c r="M29" s="1"/>
      <c r="N29" s="55" t="s">
        <v>495</v>
      </c>
      <c r="O29" s="74">
        <f>COUNTIF($L$5:$L$54,"Repeat")</f>
        <v>47</v>
      </c>
      <c r="P29" s="1"/>
      <c r="Q29" s="1"/>
      <c r="R29" s="1"/>
    </row>
    <row r="30" spans="1:18" ht="26.4">
      <c r="A30" s="55" t="s">
        <v>102</v>
      </c>
      <c r="B30" s="55" t="s">
        <v>103</v>
      </c>
      <c r="C30" s="74">
        <v>8</v>
      </c>
      <c r="D30" s="74">
        <v>23</v>
      </c>
      <c r="E30" s="61">
        <v>8009.77</v>
      </c>
      <c r="F30" s="61">
        <f>IFERROR(E30/C30,0)</f>
        <v>1001.2212500000001</v>
      </c>
      <c r="G30" s="75">
        <v>45408</v>
      </c>
      <c r="H30" s="75">
        <v>45746</v>
      </c>
      <c r="I30" s="74">
        <f>RANK(E30,$E$5:$E$54,0)+COUNTIF($E$5:E30,E30)-1</f>
        <v>7</v>
      </c>
      <c r="J30" s="76" t="str">
        <f>IF(E30&gt;=$O$4,"High-Value",IF(E30&gt;=$O$5,"Mid-Value","Low-Value"))</f>
        <v>High-Value</v>
      </c>
      <c r="K30" s="63">
        <f>IFERROR(E30/SUM($E$5:$E$54),0)</f>
        <v>3.4947788642445368E-2</v>
      </c>
      <c r="L30" s="76" t="str">
        <f>IF(C30&gt;1,"Repeat","One-time")</f>
        <v>Repeat</v>
      </c>
      <c r="M30" s="1"/>
      <c r="N30" s="55" t="s">
        <v>496</v>
      </c>
      <c r="O30" s="74">
        <f>COUNTIF($L$5:$L$54,"One-time")</f>
        <v>3</v>
      </c>
      <c r="P30" s="1"/>
      <c r="Q30" s="1"/>
      <c r="R30" s="1"/>
    </row>
    <row r="31" spans="1:18" ht="26.4">
      <c r="A31" s="55" t="s">
        <v>120</v>
      </c>
      <c r="B31" s="55" t="s">
        <v>121</v>
      </c>
      <c r="C31" s="74">
        <v>3</v>
      </c>
      <c r="D31" s="74">
        <v>7</v>
      </c>
      <c r="E31" s="61">
        <v>3779.93</v>
      </c>
      <c r="F31" s="61">
        <f>IFERROR(E31/C31,0)</f>
        <v>1259.9766666666667</v>
      </c>
      <c r="G31" s="75">
        <v>45409</v>
      </c>
      <c r="H31" s="75">
        <v>45608</v>
      </c>
      <c r="I31" s="74">
        <f>RANK(E31,$E$5:$E$54,0)+COUNTIF($E$5:E31,E31)-1</f>
        <v>28</v>
      </c>
      <c r="J31" s="76" t="str">
        <f>IF(E31&gt;=$O$4,"High-Value",IF(E31&gt;=$O$5,"Mid-Value","Low-Value"))</f>
        <v>Mid-Value</v>
      </c>
      <c r="K31" s="63">
        <f>IFERROR(E31/SUM($E$5:$E$54),0)</f>
        <v>1.6492383017644514E-2</v>
      </c>
      <c r="L31" s="76" t="str">
        <f>IF(C31&gt;1,"Repeat","One-time")</f>
        <v>Repeat</v>
      </c>
      <c r="M31" s="1"/>
      <c r="N31" s="55" t="s">
        <v>497</v>
      </c>
      <c r="O31" s="76" t="str">
        <f>_xlfn.SINGLE(INDEX($B$5:$B$54,MATCH(MAX($C$5:$C$54),$C$5:$C$54,0)))</f>
        <v>Mark Carter</v>
      </c>
      <c r="P31" s="1"/>
      <c r="Q31" s="1"/>
      <c r="R31" s="1"/>
    </row>
    <row r="32" spans="1:18" ht="26.4">
      <c r="A32" s="55" t="s">
        <v>191</v>
      </c>
      <c r="B32" s="55" t="s">
        <v>192</v>
      </c>
      <c r="C32" s="74">
        <v>5</v>
      </c>
      <c r="D32" s="74">
        <v>16</v>
      </c>
      <c r="E32" s="61">
        <v>5649.84</v>
      </c>
      <c r="F32" s="61">
        <f>IFERROR(E32/C32,0)</f>
        <v>1129.9680000000001</v>
      </c>
      <c r="G32" s="75">
        <v>45449</v>
      </c>
      <c r="H32" s="75">
        <v>45671</v>
      </c>
      <c r="I32" s="74">
        <f>RANK(E32,$E$5:$E$54,0)+COUNTIF($E$5:E32,E32)-1</f>
        <v>16</v>
      </c>
      <c r="J32" s="76" t="str">
        <f>IF(E32&gt;=$O$4,"High-Value",IF(E32&gt;=$O$5,"Mid-Value","Low-Value"))</f>
        <v>Mid-Value</v>
      </c>
      <c r="K32" s="63">
        <f>IFERROR(E32/SUM($E$5:$E$54),0)</f>
        <v>2.4651071651699552E-2</v>
      </c>
      <c r="L32" s="76" t="str">
        <f>IF(C32&gt;1,"Repeat","One-time")</f>
        <v>Repeat</v>
      </c>
      <c r="M32" s="1"/>
      <c r="N32" s="55" t="s">
        <v>498</v>
      </c>
      <c r="O32" s="74">
        <f>MAX($C$5:$C$54)</f>
        <v>12</v>
      </c>
      <c r="P32" s="1"/>
      <c r="Q32" s="1"/>
      <c r="R32" s="1"/>
    </row>
    <row r="33" spans="1:18" ht="26.4">
      <c r="A33" s="55" t="s">
        <v>157</v>
      </c>
      <c r="B33" s="55" t="s">
        <v>26</v>
      </c>
      <c r="C33" s="74">
        <v>6</v>
      </c>
      <c r="D33" s="74">
        <v>23</v>
      </c>
      <c r="E33" s="61">
        <v>11919.77</v>
      </c>
      <c r="F33" s="61">
        <f>IFERROR(E33/C33,0)</f>
        <v>1986.6283333333333</v>
      </c>
      <c r="G33" s="75">
        <v>45427</v>
      </c>
      <c r="H33" s="75">
        <v>45749</v>
      </c>
      <c r="I33" s="74">
        <f>RANK(E33,$E$5:$E$54,0)+COUNTIF($E$5:E33,E33)-1</f>
        <v>2</v>
      </c>
      <c r="J33" s="76" t="str">
        <f>IF(E33&gt;=$O$4,"High-Value",IF(E33&gt;=$O$5,"Mid-Value","Low-Value"))</f>
        <v>High-Value</v>
      </c>
      <c r="K33" s="63">
        <f>IFERROR(E33/SUM($E$5:$E$54),0)</f>
        <v>5.2007685941863627E-2</v>
      </c>
      <c r="L33" s="76" t="str">
        <f>IF(C33&gt;1,"Repeat","One-time")</f>
        <v>Repeat</v>
      </c>
      <c r="M33" s="1"/>
      <c r="N33" s="55" t="s">
        <v>499</v>
      </c>
      <c r="O33" s="80">
        <f>AVERAGE($C$5:$C$54)</f>
        <v>5</v>
      </c>
      <c r="P33" s="1"/>
      <c r="Q33" s="1"/>
      <c r="R33" s="1"/>
    </row>
    <row r="34" spans="1:18" ht="26.4">
      <c r="A34" s="55" t="s">
        <v>154</v>
      </c>
      <c r="B34" s="55" t="s">
        <v>155</v>
      </c>
      <c r="C34" s="74">
        <v>7</v>
      </c>
      <c r="D34" s="74">
        <v>21</v>
      </c>
      <c r="E34" s="61">
        <v>6459.79</v>
      </c>
      <c r="F34" s="61">
        <f>IFERROR(E34/C34,0)</f>
        <v>922.8271428571428</v>
      </c>
      <c r="G34" s="75">
        <v>45425</v>
      </c>
      <c r="H34" s="75">
        <v>45723</v>
      </c>
      <c r="I34" s="74">
        <f>RANK(E34,$E$5:$E$54,0)+COUNTIF($E$5:E34,E34)-1</f>
        <v>11</v>
      </c>
      <c r="J34" s="76" t="str">
        <f>IF(E34&gt;=$O$4,"High-Value",IF(E34&gt;=$O$5,"Mid-Value","Low-Value"))</f>
        <v>High-Value</v>
      </c>
      <c r="K34" s="63">
        <f>IFERROR(E34/SUM($E$5:$E$54),0)</f>
        <v>2.8185001016830961E-2</v>
      </c>
      <c r="L34" s="76" t="str">
        <f>IF(C34&gt;1,"Repeat","One-time")</f>
        <v>Repeat</v>
      </c>
      <c r="M34" s="1"/>
      <c r="N34" s="1"/>
      <c r="O34" s="1"/>
      <c r="P34" s="1"/>
      <c r="Q34" s="1"/>
      <c r="R34" s="1"/>
    </row>
    <row r="35" spans="1:18" ht="26.4">
      <c r="A35" s="55" t="s">
        <v>171</v>
      </c>
      <c r="B35" s="55" t="s">
        <v>172</v>
      </c>
      <c r="C35" s="74">
        <v>6</v>
      </c>
      <c r="D35" s="74">
        <v>17</v>
      </c>
      <c r="E35" s="61">
        <v>2649.83</v>
      </c>
      <c r="F35" s="61">
        <f>IFERROR(E35/C35,0)</f>
        <v>441.63833333333332</v>
      </c>
      <c r="G35" s="75">
        <v>45438</v>
      </c>
      <c r="H35" s="75">
        <v>45758</v>
      </c>
      <c r="I35" s="74">
        <f>RANK(E35,$E$5:$E$54,0)+COUNTIF($E$5:E35,E35)-1</f>
        <v>34</v>
      </c>
      <c r="J35" s="76" t="str">
        <f>IF(E35&gt;=$O$4,"High-Value",IF(E35&gt;=$O$5,"Mid-Value","Low-Value"))</f>
        <v>Low-Value</v>
      </c>
      <c r="K35" s="63">
        <f>IFERROR(E35/SUM($E$5:$E$54),0)</f>
        <v>1.1561592752152808E-2</v>
      </c>
      <c r="L35" s="76" t="str">
        <f>IF(C35&gt;1,"Repeat","One-time")</f>
        <v>Repeat</v>
      </c>
      <c r="M35" s="1"/>
      <c r="N35" s="1"/>
      <c r="O35" s="1"/>
      <c r="P35" s="1"/>
      <c r="Q35" s="1"/>
      <c r="R35" s="1"/>
    </row>
    <row r="36" spans="1:18" ht="26.4">
      <c r="A36" s="55" t="s">
        <v>267</v>
      </c>
      <c r="B36" s="55" t="s">
        <v>268</v>
      </c>
      <c r="C36" s="74">
        <v>5</v>
      </c>
      <c r="D36" s="74">
        <v>17</v>
      </c>
      <c r="E36" s="61">
        <v>6349.83</v>
      </c>
      <c r="F36" s="61">
        <f>IFERROR(E36/C36,0)</f>
        <v>1269.9659999999999</v>
      </c>
      <c r="G36" s="75">
        <v>45534</v>
      </c>
      <c r="H36" s="75">
        <v>45671</v>
      </c>
      <c r="I36" s="74">
        <f>RANK(E36,$E$5:$E$54,0)+COUNTIF($E$5:E36,E36)-1</f>
        <v>13</v>
      </c>
      <c r="J36" s="76" t="str">
        <f>IF(E36&gt;=$O$4,"High-Value",IF(E36&gt;=$O$5,"Mid-Value","Low-Value"))</f>
        <v>High-Value</v>
      </c>
      <c r="K36" s="63">
        <f>IFERROR(E36/SUM($E$5:$E$54),0)</f>
        <v>2.7705229582804355E-2</v>
      </c>
      <c r="L36" s="76" t="str">
        <f>IF(C36&gt;1,"Repeat","One-time")</f>
        <v>Repeat</v>
      </c>
      <c r="M36" s="1"/>
      <c r="N36" s="1"/>
      <c r="O36" s="1"/>
      <c r="P36" s="1"/>
      <c r="Q36" s="1"/>
      <c r="R36" s="1"/>
    </row>
    <row r="37" spans="1:18" ht="26.4">
      <c r="A37" s="55" t="s">
        <v>225</v>
      </c>
      <c r="B37" s="55" t="s">
        <v>226</v>
      </c>
      <c r="C37" s="74">
        <v>5</v>
      </c>
      <c r="D37" s="74">
        <v>9</v>
      </c>
      <c r="E37" s="61">
        <v>1479.91</v>
      </c>
      <c r="F37" s="61">
        <f>IFERROR(E37/C37,0)</f>
        <v>295.98200000000003</v>
      </c>
      <c r="G37" s="75">
        <v>45484</v>
      </c>
      <c r="H37" s="75">
        <v>45734</v>
      </c>
      <c r="I37" s="74">
        <f>RANK(E37,$E$5:$E$54,0)+COUNTIF($E$5:E37,E37)-1</f>
        <v>42</v>
      </c>
      <c r="J37" s="76" t="str">
        <f>IF(E37&gt;=$O$4,"High-Value",IF(E37&gt;=$O$5,"Mid-Value","Low-Value"))</f>
        <v>Low-Value</v>
      </c>
      <c r="K37" s="63">
        <f>IFERROR(E37/SUM($E$5:$E$54),0)</f>
        <v>6.4570620492025764E-3</v>
      </c>
      <c r="L37" s="76" t="str">
        <f>IF(C37&gt;1,"Repeat","One-time")</f>
        <v>Repeat</v>
      </c>
      <c r="M37" s="1"/>
      <c r="N37" s="1"/>
      <c r="O37" s="1"/>
      <c r="P37" s="1"/>
      <c r="Q37" s="1"/>
      <c r="R37" s="1"/>
    </row>
    <row r="38" spans="1:18" ht="26.4">
      <c r="A38" s="55" t="s">
        <v>264</v>
      </c>
      <c r="B38" s="55" t="s">
        <v>265</v>
      </c>
      <c r="C38" s="74">
        <v>3</v>
      </c>
      <c r="D38" s="74">
        <v>7</v>
      </c>
      <c r="E38" s="61">
        <v>1149.93</v>
      </c>
      <c r="F38" s="61">
        <f>IFERROR(E38/C38,0)</f>
        <v>383.31</v>
      </c>
      <c r="G38" s="75">
        <v>45532</v>
      </c>
      <c r="H38" s="75">
        <v>45573</v>
      </c>
      <c r="I38" s="74">
        <f>RANK(E38,$E$5:$E$54,0)+COUNTIF($E$5:E38,E38)-1</f>
        <v>45</v>
      </c>
      <c r="J38" s="76" t="str">
        <f>IF(E38&gt;=$O$4,"High-Value",IF(E38&gt;=$O$5,"Mid-Value","Low-Value"))</f>
        <v>Low-Value</v>
      </c>
      <c r="K38" s="63">
        <f>IFERROR(E38/SUM($E$5:$E$54),0)</f>
        <v>5.0173114326138206E-3</v>
      </c>
      <c r="L38" s="76" t="str">
        <f>IF(C38&gt;1,"Repeat","One-time")</f>
        <v>Repeat</v>
      </c>
      <c r="M38" s="1"/>
      <c r="N38" s="1"/>
      <c r="O38" s="1"/>
      <c r="P38" s="1"/>
      <c r="Q38" s="1"/>
      <c r="R38" s="1"/>
    </row>
    <row r="39" spans="1:18" ht="26.4">
      <c r="A39" s="55" t="s">
        <v>177</v>
      </c>
      <c r="B39" s="55" t="s">
        <v>178</v>
      </c>
      <c r="C39" s="74">
        <v>4</v>
      </c>
      <c r="D39" s="74">
        <v>11</v>
      </c>
      <c r="E39" s="61">
        <v>5519.89</v>
      </c>
      <c r="F39" s="61">
        <f>IFERROR(E39/C39,0)</f>
        <v>1379.9725000000001</v>
      </c>
      <c r="G39" s="75">
        <v>45441</v>
      </c>
      <c r="H39" s="75">
        <v>45726</v>
      </c>
      <c r="I39" s="74">
        <f>RANK(E39,$E$5:$E$54,0)+COUNTIF($E$5:E39,E39)-1</f>
        <v>18</v>
      </c>
      <c r="J39" s="76" t="str">
        <f>IF(E39&gt;=$O$4,"High-Value",IF(E39&gt;=$O$5,"Mid-Value","Low-Value"))</f>
        <v>Mid-Value</v>
      </c>
      <c r="K39" s="63">
        <f>IFERROR(E39/SUM($E$5:$E$54),0)</f>
        <v>2.4084080947336536E-2</v>
      </c>
      <c r="L39" s="76" t="str">
        <f>IF(C39&gt;1,"Repeat","One-time")</f>
        <v>Repeat</v>
      </c>
      <c r="M39" s="1"/>
      <c r="N39" s="1"/>
      <c r="O39" s="1"/>
      <c r="P39" s="1"/>
      <c r="Q39" s="1"/>
      <c r="R39" s="1"/>
    </row>
    <row r="40" spans="1:18" ht="26.4">
      <c r="A40" s="55" t="s">
        <v>142</v>
      </c>
      <c r="B40" s="55" t="s">
        <v>143</v>
      </c>
      <c r="C40" s="74">
        <v>6</v>
      </c>
      <c r="D40" s="74">
        <v>23</v>
      </c>
      <c r="E40" s="61">
        <v>4189.7700000000004</v>
      </c>
      <c r="F40" s="61">
        <f>IFERROR(E40/C40,0)</f>
        <v>698.29500000000007</v>
      </c>
      <c r="G40" s="75">
        <v>45422</v>
      </c>
      <c r="H40" s="75">
        <v>45701</v>
      </c>
      <c r="I40" s="74">
        <f>RANK(E40,$E$5:$E$54,0)+COUNTIF($E$5:E40,E40)-1</f>
        <v>27</v>
      </c>
      <c r="J40" s="76" t="str">
        <f>IF(E40&gt;=$O$4,"High-Value",IF(E40&gt;=$O$5,"Mid-Value","Low-Value"))</f>
        <v>Mid-Value</v>
      </c>
      <c r="K40" s="63">
        <f>IFERROR(E40/SUM($E$5:$E$54),0)</f>
        <v>1.8280574401069984E-2</v>
      </c>
      <c r="L40" s="76" t="str">
        <f>IF(C40&gt;1,"Repeat","One-time")</f>
        <v>Repeat</v>
      </c>
      <c r="M40" s="1"/>
      <c r="N40" s="1"/>
      <c r="O40" s="1"/>
      <c r="P40" s="1"/>
      <c r="Q40" s="1"/>
      <c r="R40" s="1"/>
    </row>
    <row r="41" spans="1:18" ht="26.4">
      <c r="A41" s="55" t="s">
        <v>358</v>
      </c>
      <c r="B41" s="55" t="s">
        <v>359</v>
      </c>
      <c r="C41" s="74">
        <v>3</v>
      </c>
      <c r="D41" s="74">
        <v>6</v>
      </c>
      <c r="E41" s="61">
        <v>1559.94</v>
      </c>
      <c r="F41" s="61">
        <f>IFERROR(E41/C41,0)</f>
        <v>519.98</v>
      </c>
      <c r="G41" s="75">
        <v>45661</v>
      </c>
      <c r="H41" s="75">
        <v>45711</v>
      </c>
      <c r="I41" s="74">
        <f>RANK(E41,$E$5:$E$54,0)+COUNTIF($E$5:E41,E41)-1</f>
        <v>41</v>
      </c>
      <c r="J41" s="76" t="str">
        <f>IF(E41&gt;=$O$4,"High-Value",IF(E41&gt;=$O$5,"Mid-Value","Low-Value"))</f>
        <v>Low-Value</v>
      </c>
      <c r="K41" s="63">
        <f>IFERROR(E41/SUM($E$5:$E$54),0)</f>
        <v>6.8062445507044798E-3</v>
      </c>
      <c r="L41" s="76" t="str">
        <f>IF(C41&gt;1,"Repeat","One-time")</f>
        <v>Repeat</v>
      </c>
      <c r="M41" s="1"/>
      <c r="N41" s="1"/>
      <c r="O41" s="1"/>
      <c r="P41" s="1"/>
      <c r="Q41" s="1"/>
      <c r="R41" s="1"/>
    </row>
    <row r="42" spans="1:18" ht="26.4">
      <c r="A42" s="55" t="s">
        <v>115</v>
      </c>
      <c r="B42" s="55" t="s">
        <v>116</v>
      </c>
      <c r="C42" s="74">
        <v>2</v>
      </c>
      <c r="D42" s="74">
        <v>6</v>
      </c>
      <c r="E42" s="61">
        <v>4199.9399999999996</v>
      </c>
      <c r="F42" s="61">
        <f>IFERROR(E42/C42,0)</f>
        <v>2099.9699999999998</v>
      </c>
      <c r="G42" s="75">
        <v>45409</v>
      </c>
      <c r="H42" s="75">
        <v>45668</v>
      </c>
      <c r="I42" s="74">
        <f>RANK(E42,$E$5:$E$54,0)+COUNTIF($E$5:E42,E42)-1</f>
        <v>26</v>
      </c>
      <c r="J42" s="76" t="str">
        <f>IF(E42&gt;=$O$4,"High-Value",IF(E42&gt;=$O$5,"Mid-Value","Low-Value"))</f>
        <v>Mid-Value</v>
      </c>
      <c r="K42" s="63">
        <f>IFERROR(E42/SUM($E$5:$E$54),0)</f>
        <v>1.8324947586628827E-2</v>
      </c>
      <c r="L42" s="76" t="str">
        <f>IF(C42&gt;1,"Repeat","One-time")</f>
        <v>Repeat</v>
      </c>
      <c r="M42" s="1"/>
      <c r="N42" s="1"/>
      <c r="O42" s="1"/>
      <c r="P42" s="1"/>
      <c r="Q42" s="1"/>
      <c r="R42" s="1"/>
    </row>
    <row r="43" spans="1:18" ht="26.4">
      <c r="A43" s="55" t="s">
        <v>259</v>
      </c>
      <c r="B43" s="55" t="s">
        <v>260</v>
      </c>
      <c r="C43" s="74">
        <v>8</v>
      </c>
      <c r="D43" s="74">
        <v>23</v>
      </c>
      <c r="E43" s="61">
        <v>6989.77</v>
      </c>
      <c r="F43" s="61">
        <f>IFERROR(E43/C43,0)</f>
        <v>873.72125000000005</v>
      </c>
      <c r="G43" s="75">
        <v>45528</v>
      </c>
      <c r="H43" s="75">
        <v>45758</v>
      </c>
      <c r="I43" s="74">
        <f>RANK(E43,$E$5:$E$54,0)+COUNTIF($E$5:E43,E43)-1</f>
        <v>9</v>
      </c>
      <c r="J43" s="76" t="str">
        <f>IF(E43&gt;=$O$4,"High-Value",IF(E43&gt;=$O$5,"Mid-Value","Low-Value"))</f>
        <v>High-Value</v>
      </c>
      <c r="K43" s="63">
        <f>IFERROR(E43/SUM($E$5:$E$54),0)</f>
        <v>3.0497380651292778E-2</v>
      </c>
      <c r="L43" s="76" t="str">
        <f>IF(C43&gt;1,"Repeat","One-time")</f>
        <v>Repeat</v>
      </c>
      <c r="M43" s="1"/>
      <c r="N43" s="1"/>
      <c r="O43" s="1"/>
      <c r="P43" s="1"/>
      <c r="Q43" s="1"/>
      <c r="R43" s="1"/>
    </row>
    <row r="44" spans="1:18" ht="26.4">
      <c r="A44" s="55" t="s">
        <v>183</v>
      </c>
      <c r="B44" s="55" t="s">
        <v>184</v>
      </c>
      <c r="C44" s="74">
        <v>6</v>
      </c>
      <c r="D44" s="74">
        <v>13</v>
      </c>
      <c r="E44" s="61">
        <v>5619.87</v>
      </c>
      <c r="F44" s="61">
        <f>IFERROR(E44/C44,0)</f>
        <v>936.64499999999998</v>
      </c>
      <c r="G44" s="75">
        <v>45444</v>
      </c>
      <c r="H44" s="75">
        <v>45737</v>
      </c>
      <c r="I44" s="74">
        <f>RANK(E44,$E$5:$E$54,0)+COUNTIF($E$5:E44,E44)-1</f>
        <v>17</v>
      </c>
      <c r="J44" s="76" t="str">
        <f>IF(E44&gt;=$O$4,"High-Value",IF(E44&gt;=$O$5,"Mid-Value","Low-Value"))</f>
        <v>Mid-Value</v>
      </c>
      <c r="K44" s="63">
        <f>IFERROR(E44/SUM($E$5:$E$54),0)</f>
        <v>2.4520308193371275E-2</v>
      </c>
      <c r="L44" s="76" t="str">
        <f>IF(C44&gt;1,"Repeat","One-time")</f>
        <v>Repeat</v>
      </c>
      <c r="M44" s="1"/>
      <c r="N44" s="1"/>
      <c r="O44" s="1"/>
      <c r="P44" s="1"/>
      <c r="Q44" s="1"/>
      <c r="R44" s="1"/>
    </row>
    <row r="45" spans="1:18" ht="26.4">
      <c r="A45" s="55" t="s">
        <v>109</v>
      </c>
      <c r="B45" s="55" t="s">
        <v>110</v>
      </c>
      <c r="C45" s="74">
        <v>5</v>
      </c>
      <c r="D45" s="74">
        <v>15</v>
      </c>
      <c r="E45" s="61">
        <v>5949.85</v>
      </c>
      <c r="F45" s="61">
        <f>IFERROR(E45/C45,0)</f>
        <v>1189.97</v>
      </c>
      <c r="G45" s="75">
        <v>45408</v>
      </c>
      <c r="H45" s="75">
        <v>45638</v>
      </c>
      <c r="I45" s="74">
        <f>RANK(E45,$E$5:$E$54,0)+COUNTIF($E$5:E45,E45)-1</f>
        <v>15</v>
      </c>
      <c r="J45" s="76" t="str">
        <f>IF(E45&gt;=$O$4,"High-Value",IF(E45&gt;=$O$5,"Mid-Value","Low-Value"))</f>
        <v>Mid-Value</v>
      </c>
      <c r="K45" s="63">
        <f>IFERROR(E45/SUM($E$5:$E$54),0)</f>
        <v>2.5960058809960031E-2</v>
      </c>
      <c r="L45" s="76" t="str">
        <f>IF(C45&gt;1,"Repeat","One-time")</f>
        <v>Repeat</v>
      </c>
      <c r="M45" s="1"/>
      <c r="N45" s="1"/>
      <c r="O45" s="1"/>
      <c r="P45" s="1"/>
      <c r="Q45" s="1"/>
      <c r="R45" s="1"/>
    </row>
    <row r="46" spans="1:18" ht="26.4">
      <c r="A46" s="55" t="s">
        <v>279</v>
      </c>
      <c r="B46" s="55" t="s">
        <v>280</v>
      </c>
      <c r="C46" s="74">
        <v>3</v>
      </c>
      <c r="D46" s="74">
        <v>8</v>
      </c>
      <c r="E46" s="61">
        <v>1749.92</v>
      </c>
      <c r="F46" s="61">
        <f>IFERROR(E46/C46,0)</f>
        <v>583.30666666666673</v>
      </c>
      <c r="G46" s="75">
        <v>45550</v>
      </c>
      <c r="H46" s="75">
        <v>45711</v>
      </c>
      <c r="I46" s="74">
        <f>RANK(E46,$E$5:$E$54,0)+COUNTIF($E$5:E46,E46)-1</f>
        <v>40</v>
      </c>
      <c r="J46" s="76" t="str">
        <f>IF(E46&gt;=$O$4,"High-Value",IF(E46&gt;=$O$5,"Mid-Value","Low-Value"))</f>
        <v>Low-Value</v>
      </c>
      <c r="K46" s="63">
        <f>IFERROR(E46/SUM($E$5:$E$54),0)</f>
        <v>7.6351548547820966E-3</v>
      </c>
      <c r="L46" s="76" t="str">
        <f>IF(C46&gt;1,"Repeat","One-time")</f>
        <v>Repeat</v>
      </c>
      <c r="M46" s="1"/>
      <c r="N46" s="1"/>
      <c r="O46" s="1"/>
      <c r="P46" s="1"/>
      <c r="Q46" s="1"/>
      <c r="R46" s="1"/>
    </row>
    <row r="47" spans="1:18" ht="26.4">
      <c r="A47" s="55" t="s">
        <v>112</v>
      </c>
      <c r="B47" s="55" t="s">
        <v>113</v>
      </c>
      <c r="C47" s="74">
        <v>2</v>
      </c>
      <c r="D47" s="74">
        <v>8</v>
      </c>
      <c r="E47" s="61">
        <v>479.92</v>
      </c>
      <c r="F47" s="61">
        <f>IFERROR(E47/C47,0)</f>
        <v>239.96</v>
      </c>
      <c r="G47" s="75">
        <v>45409</v>
      </c>
      <c r="H47" s="75">
        <v>45721</v>
      </c>
      <c r="I47" s="74">
        <f>RANK(E47,$E$5:$E$54,0)+COUNTIF($E$5:E47,E47)-1</f>
        <v>48</v>
      </c>
      <c r="J47" s="76" t="str">
        <f>IF(E47&gt;=$O$4,"High-Value",IF(E47&gt;=$O$5,"Mid-Value","Low-Value"))</f>
        <v>Low-Value</v>
      </c>
      <c r="K47" s="63">
        <f>IFERROR(E47/SUM($E$5:$E$54),0)</f>
        <v>2.093960591288187E-3</v>
      </c>
      <c r="L47" s="76" t="str">
        <f>IF(C47&gt;1,"Repeat","One-time")</f>
        <v>Repeat</v>
      </c>
      <c r="M47" s="1"/>
      <c r="N47" s="1"/>
      <c r="O47" s="1"/>
      <c r="P47" s="1"/>
      <c r="Q47" s="1"/>
      <c r="R47" s="1"/>
    </row>
    <row r="48" spans="1:18" ht="26.4">
      <c r="A48" s="55" t="s">
        <v>136</v>
      </c>
      <c r="B48" s="55" t="s">
        <v>137</v>
      </c>
      <c r="C48" s="74">
        <v>5</v>
      </c>
      <c r="D48" s="74">
        <v>17</v>
      </c>
      <c r="E48" s="61">
        <v>3769.83</v>
      </c>
      <c r="F48" s="61">
        <f>IFERROR(E48/C48,0)</f>
        <v>753.96600000000001</v>
      </c>
      <c r="G48" s="75">
        <v>45415</v>
      </c>
      <c r="H48" s="75">
        <v>45748</v>
      </c>
      <c r="I48" s="74">
        <f>RANK(E48,$E$5:$E$54,0)+COUNTIF($E$5:E48,E48)-1</f>
        <v>29</v>
      </c>
      <c r="J48" s="76" t="str">
        <f>IF(E48&gt;=$O$4,"High-Value",IF(E48&gt;=$O$5,"Mid-Value","Low-Value"))</f>
        <v>Mid-Value</v>
      </c>
      <c r="K48" s="63">
        <f>IFERROR(E48/SUM($E$5:$E$54),0)</f>
        <v>1.6448315252241927E-2</v>
      </c>
      <c r="L48" s="76" t="str">
        <f>IF(C48&gt;1,"Repeat","One-time")</f>
        <v>Repeat</v>
      </c>
      <c r="M48" s="1"/>
      <c r="N48" s="1"/>
      <c r="O48" s="1"/>
      <c r="P48" s="1"/>
      <c r="Q48" s="1"/>
      <c r="R48" s="1"/>
    </row>
    <row r="49" spans="1:18" ht="26.4">
      <c r="A49" s="55" t="s">
        <v>326</v>
      </c>
      <c r="B49" s="55" t="s">
        <v>327</v>
      </c>
      <c r="C49" s="74">
        <v>4</v>
      </c>
      <c r="D49" s="74">
        <v>11</v>
      </c>
      <c r="E49" s="61">
        <v>4829.8900000000003</v>
      </c>
      <c r="F49" s="61">
        <f>IFERROR(E49/C49,0)</f>
        <v>1207.4725000000001</v>
      </c>
      <c r="G49" s="75">
        <v>45622</v>
      </c>
      <c r="H49" s="75">
        <v>45758</v>
      </c>
      <c r="I49" s="74">
        <f>RANK(E49,$E$5:$E$54,0)+COUNTIF($E$5:E49,E49)-1</f>
        <v>21</v>
      </c>
      <c r="J49" s="76" t="str">
        <f>IF(E49&gt;=$O$4,"High-Value",IF(E49&gt;=$O$5,"Mid-Value","Low-Value"))</f>
        <v>Mid-Value</v>
      </c>
      <c r="K49" s="63">
        <f>IFERROR(E49/SUM($E$5:$E$54),0)</f>
        <v>2.1073510835674488E-2</v>
      </c>
      <c r="L49" s="76" t="str">
        <f>IF(C49&gt;1,"Repeat","One-time")</f>
        <v>Repeat</v>
      </c>
      <c r="M49" s="1"/>
      <c r="N49" s="1"/>
      <c r="O49" s="1"/>
      <c r="P49" s="1"/>
      <c r="Q49" s="1"/>
      <c r="R49" s="1"/>
    </row>
    <row r="50" spans="1:18" ht="26.4">
      <c r="A50" s="55" t="s">
        <v>75</v>
      </c>
      <c r="B50" s="55" t="s">
        <v>76</v>
      </c>
      <c r="C50" s="74">
        <v>6</v>
      </c>
      <c r="D50" s="74">
        <v>19</v>
      </c>
      <c r="E50" s="61">
        <v>4309.8100000000004</v>
      </c>
      <c r="F50" s="61">
        <f>IFERROR(E50/C50,0)</f>
        <v>718.30166666666673</v>
      </c>
      <c r="G50" s="75">
        <v>45400</v>
      </c>
      <c r="H50" s="75">
        <v>45588</v>
      </c>
      <c r="I50" s="74">
        <f>RANK(E50,$E$5:$E$54,0)+COUNTIF($E$5:E50,E50)-1</f>
        <v>25</v>
      </c>
      <c r="J50" s="76" t="str">
        <f>IF(E50&gt;=$O$4,"High-Value",IF(E50&gt;=$O$5,"Mid-Value","Low-Value"))</f>
        <v>Mid-Value</v>
      </c>
      <c r="K50" s="63">
        <f>IFERROR(E50/SUM($E$5:$E$54),0)</f>
        <v>1.8804326337597394E-2</v>
      </c>
      <c r="L50" s="76" t="str">
        <f>IF(C50&gt;1,"Repeat","One-time")</f>
        <v>Repeat</v>
      </c>
      <c r="M50" s="1"/>
      <c r="N50" s="1"/>
      <c r="O50" s="1"/>
      <c r="P50" s="1"/>
      <c r="Q50" s="1"/>
      <c r="R50" s="1"/>
    </row>
    <row r="51" spans="1:18" ht="26.4">
      <c r="A51" s="55" t="s">
        <v>229</v>
      </c>
      <c r="B51" s="55" t="s">
        <v>230</v>
      </c>
      <c r="C51" s="74">
        <v>4</v>
      </c>
      <c r="D51" s="74">
        <v>13</v>
      </c>
      <c r="E51" s="61">
        <v>6379.87</v>
      </c>
      <c r="F51" s="61">
        <f>IFERROR(E51/C51,0)</f>
        <v>1594.9675</v>
      </c>
      <c r="G51" s="75">
        <v>45490</v>
      </c>
      <c r="H51" s="75">
        <v>45532</v>
      </c>
      <c r="I51" s="74">
        <f>RANK(E51,$E$5:$E$54,0)+COUNTIF($E$5:E51,E51)-1</f>
        <v>12</v>
      </c>
      <c r="J51" s="76" t="str">
        <f>IF(E51&gt;=$O$4,"High-Value",IF(E51&gt;=$O$5,"Mid-Value","Low-Value"))</f>
        <v>High-Value</v>
      </c>
      <c r="K51" s="63">
        <f>IFERROR(E51/SUM($E$5:$E$54),0)</f>
        <v>2.7836298461288888E-2</v>
      </c>
      <c r="L51" s="76" t="str">
        <f>IF(C51&gt;1,"Repeat","One-time")</f>
        <v>Repeat</v>
      </c>
      <c r="M51" s="1"/>
      <c r="N51" s="1"/>
      <c r="O51" s="1"/>
      <c r="P51" s="1"/>
      <c r="Q51" s="1"/>
      <c r="R51" s="1"/>
    </row>
    <row r="52" spans="1:18" ht="26.4">
      <c r="A52" s="55" t="s">
        <v>129</v>
      </c>
      <c r="B52" s="55" t="s">
        <v>130</v>
      </c>
      <c r="C52" s="74">
        <v>6</v>
      </c>
      <c r="D52" s="74">
        <v>21</v>
      </c>
      <c r="E52" s="61">
        <v>4789.79</v>
      </c>
      <c r="F52" s="61">
        <f>IFERROR(E52/C52,0)</f>
        <v>798.29833333333329</v>
      </c>
      <c r="G52" s="75">
        <v>45410</v>
      </c>
      <c r="H52" s="75">
        <v>45755</v>
      </c>
      <c r="I52" s="74">
        <f>RANK(E52,$E$5:$E$54,0)+COUNTIF($E$5:E52,E52)-1</f>
        <v>22</v>
      </c>
      <c r="J52" s="76" t="str">
        <f>IF(E52&gt;=$O$4,"High-Value",IF(E52&gt;=$O$5,"Mid-Value","Low-Value"))</f>
        <v>Mid-Value</v>
      </c>
      <c r="K52" s="63">
        <f>IFERROR(E52/SUM($E$5:$E$54),0)</f>
        <v>2.0898548717590941E-2</v>
      </c>
      <c r="L52" s="76" t="str">
        <f>IF(C52&gt;1,"Repeat","One-time")</f>
        <v>Repeat</v>
      </c>
      <c r="M52" s="1"/>
      <c r="N52" s="1"/>
      <c r="O52" s="1"/>
      <c r="P52" s="1"/>
      <c r="Q52" s="1"/>
      <c r="R52" s="1"/>
    </row>
    <row r="53" spans="1:18" ht="26.4">
      <c r="A53" s="55" t="s">
        <v>204</v>
      </c>
      <c r="B53" s="55" t="s">
        <v>205</v>
      </c>
      <c r="C53" s="74">
        <v>4</v>
      </c>
      <c r="D53" s="74">
        <v>15</v>
      </c>
      <c r="E53" s="61">
        <v>3669.85</v>
      </c>
      <c r="F53" s="61">
        <f>IFERROR(E53/C53,0)</f>
        <v>917.46249999999998</v>
      </c>
      <c r="G53" s="75">
        <v>45468</v>
      </c>
      <c r="H53" s="75">
        <v>45592</v>
      </c>
      <c r="I53" s="74">
        <f>RANK(E53,$E$5:$E$54,0)+COUNTIF($E$5:E53,E53)-1</f>
        <v>30</v>
      </c>
      <c r="J53" s="76" t="str">
        <f>IF(E53&gt;=$O$4,"High-Value",IF(E53&gt;=$O$5,"Mid-Value","Low-Value"))</f>
        <v>Mid-Value</v>
      </c>
      <c r="K53" s="63">
        <f>IFERROR(E53/SUM($E$5:$E$54),0)</f>
        <v>1.6012088006207185E-2</v>
      </c>
      <c r="L53" s="76" t="str">
        <f>IF(C53&gt;1,"Repeat","One-time")</f>
        <v>Repeat</v>
      </c>
      <c r="M53" s="1"/>
      <c r="N53" s="1"/>
      <c r="O53" s="1"/>
      <c r="P53" s="1"/>
      <c r="Q53" s="1"/>
      <c r="R53" s="1"/>
    </row>
    <row r="54" spans="1:18" ht="26.4">
      <c r="A54" s="55" t="s">
        <v>195</v>
      </c>
      <c r="B54" s="55" t="s">
        <v>196</v>
      </c>
      <c r="C54" s="74">
        <v>1</v>
      </c>
      <c r="D54" s="74">
        <v>4</v>
      </c>
      <c r="E54" s="61">
        <v>239.96</v>
      </c>
      <c r="F54" s="61">
        <f>IFERROR(E54/C54,0)</f>
        <v>239.96</v>
      </c>
      <c r="G54" s="75">
        <v>45452</v>
      </c>
      <c r="H54" s="75">
        <v>45452</v>
      </c>
      <c r="I54" s="74">
        <f>RANK(E54,$E$5:$E$54,0)+COUNTIF($E$5:E54,E54)-1</f>
        <v>49</v>
      </c>
      <c r="J54" s="76" t="str">
        <f>IF(E54&gt;=$O$4,"High-Value",IF(E54&gt;=$O$5,"Mid-Value","Low-Value"))</f>
        <v>Low-Value</v>
      </c>
      <c r="K54" s="63">
        <f>IFERROR(E54/SUM($E$5:$E$54),0)</f>
        <v>1.0469802956440935E-3</v>
      </c>
      <c r="L54" s="76" t="str">
        <f>IF(C54&gt;1,"Repeat","One-time")</f>
        <v>One-time</v>
      </c>
      <c r="M54" s="1"/>
      <c r="N54" s="1"/>
      <c r="O54" s="1"/>
      <c r="P54" s="1"/>
      <c r="Q54" s="1"/>
      <c r="R54" s="1"/>
    </row>
  </sheetData>
  <mergeCells count="2">
    <mergeCell ref="A1:R1"/>
    <mergeCell ref="A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0DB8-560F-4D4B-A0EF-E22455DE8E2A}">
  <dimension ref="A1:J159"/>
  <sheetViews>
    <sheetView workbookViewId="0">
      <selection activeCell="D5" sqref="D5"/>
    </sheetView>
  </sheetViews>
  <sheetFormatPr defaultRowHeight="14.4"/>
  <cols>
    <col min="3" max="3" width="11" customWidth="1"/>
    <col min="4" max="4" width="16.21875" customWidth="1"/>
    <col min="6" max="6" width="11.6640625" customWidth="1"/>
    <col min="10" max="10" width="14.44140625" customWidth="1"/>
  </cols>
  <sheetData>
    <row r="1" spans="1:10" ht="21">
      <c r="A1" s="51" t="s">
        <v>500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>
      <c r="A2" s="52" t="s">
        <v>501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>
      <c r="A3" s="1"/>
      <c r="B3" s="1"/>
      <c r="C3" s="1"/>
      <c r="D3" s="1"/>
    </row>
    <row r="4" spans="1:10" ht="26.4">
      <c r="A4" s="1"/>
      <c r="B4" s="53" t="s">
        <v>43</v>
      </c>
      <c r="C4" s="4" t="s">
        <v>2</v>
      </c>
      <c r="D4" s="1"/>
      <c r="E4" s="44" t="s">
        <v>461</v>
      </c>
      <c r="F4" s="44" t="s">
        <v>39</v>
      </c>
      <c r="G4" s="44" t="s">
        <v>505</v>
      </c>
      <c r="H4" s="44" t="s">
        <v>506</v>
      </c>
      <c r="I4" s="44" t="s">
        <v>43</v>
      </c>
      <c r="J4" s="44" t="s">
        <v>507</v>
      </c>
    </row>
    <row r="5" spans="1:10">
      <c r="A5" s="1"/>
      <c r="B5" s="53" t="s">
        <v>39</v>
      </c>
      <c r="C5" s="4" t="s">
        <v>2</v>
      </c>
      <c r="D5" s="1"/>
      <c r="E5" s="45" t="s">
        <v>55</v>
      </c>
      <c r="F5" s="45" t="s">
        <v>56</v>
      </c>
      <c r="G5" s="45">
        <v>3</v>
      </c>
      <c r="H5" s="84">
        <v>749.97</v>
      </c>
      <c r="I5" s="45" t="s">
        <v>58</v>
      </c>
      <c r="J5" s="45" t="s">
        <v>57</v>
      </c>
    </row>
    <row r="6" spans="1:10">
      <c r="A6" s="1"/>
      <c r="B6" s="53" t="s">
        <v>502</v>
      </c>
      <c r="C6" s="74">
        <v>250</v>
      </c>
      <c r="D6" s="1"/>
      <c r="E6" s="45" t="s">
        <v>55</v>
      </c>
      <c r="F6" s="45" t="s">
        <v>56</v>
      </c>
      <c r="G6" s="45">
        <v>3</v>
      </c>
      <c r="H6" s="84">
        <v>749.97</v>
      </c>
      <c r="I6" s="45" t="s">
        <v>58</v>
      </c>
      <c r="J6" s="45" t="s">
        <v>63</v>
      </c>
    </row>
    <row r="7" spans="1:10">
      <c r="A7" s="1"/>
      <c r="B7" s="53" t="s">
        <v>503</v>
      </c>
      <c r="C7" s="81">
        <v>229192.47</v>
      </c>
      <c r="D7" s="1"/>
      <c r="E7" s="45" t="s">
        <v>69</v>
      </c>
      <c r="F7" s="45" t="s">
        <v>70</v>
      </c>
      <c r="G7" s="45">
        <v>3</v>
      </c>
      <c r="H7" s="84">
        <v>179.97</v>
      </c>
      <c r="I7" s="45" t="s">
        <v>72</v>
      </c>
      <c r="J7" s="45" t="s">
        <v>71</v>
      </c>
    </row>
    <row r="8" spans="1:10">
      <c r="E8" s="45" t="s">
        <v>69</v>
      </c>
      <c r="F8" s="45" t="s">
        <v>70</v>
      </c>
      <c r="G8" s="45">
        <v>3</v>
      </c>
      <c r="H8" s="84">
        <v>179.97</v>
      </c>
      <c r="I8" s="45" t="s">
        <v>77</v>
      </c>
      <c r="J8" s="45" t="s">
        <v>57</v>
      </c>
    </row>
    <row r="9" spans="1:10" ht="26.4">
      <c r="A9" s="44" t="s">
        <v>21</v>
      </c>
      <c r="B9" s="44" t="s">
        <v>504</v>
      </c>
      <c r="C9" s="44" t="s">
        <v>34</v>
      </c>
      <c r="D9" s="44" t="s">
        <v>22</v>
      </c>
      <c r="E9" s="45" t="s">
        <v>82</v>
      </c>
      <c r="F9" s="45" t="s">
        <v>83</v>
      </c>
      <c r="G9" s="45">
        <v>5</v>
      </c>
      <c r="H9" s="84">
        <v>749.95</v>
      </c>
      <c r="I9" s="45" t="s">
        <v>77</v>
      </c>
      <c r="J9" s="45" t="s">
        <v>63</v>
      </c>
    </row>
    <row r="10" spans="1:10">
      <c r="A10" s="82">
        <v>1</v>
      </c>
      <c r="B10" s="45" t="s">
        <v>52</v>
      </c>
      <c r="C10" s="83">
        <v>45393</v>
      </c>
      <c r="D10" s="45" t="s">
        <v>32</v>
      </c>
      <c r="E10" s="45" t="s">
        <v>69</v>
      </c>
      <c r="F10" s="45" t="s">
        <v>70</v>
      </c>
      <c r="G10" s="45">
        <v>2</v>
      </c>
      <c r="H10" s="84">
        <v>119.98</v>
      </c>
      <c r="I10" s="45" t="s">
        <v>87</v>
      </c>
      <c r="J10" s="45" t="s">
        <v>57</v>
      </c>
    </row>
    <row r="11" spans="1:10">
      <c r="A11" s="82">
        <v>2</v>
      </c>
      <c r="B11" s="45" t="s">
        <v>60</v>
      </c>
      <c r="C11" s="83">
        <v>45396</v>
      </c>
      <c r="D11" s="45" t="s">
        <v>62</v>
      </c>
      <c r="E11" s="45" t="s">
        <v>90</v>
      </c>
      <c r="F11" s="45" t="s">
        <v>56</v>
      </c>
      <c r="G11" s="45">
        <v>5</v>
      </c>
      <c r="H11" s="84">
        <v>749.95</v>
      </c>
      <c r="I11" s="45" t="s">
        <v>58</v>
      </c>
      <c r="J11" s="45" t="s">
        <v>63</v>
      </c>
    </row>
    <row r="12" spans="1:10">
      <c r="A12" s="82">
        <v>3</v>
      </c>
      <c r="B12" s="45" t="s">
        <v>65</v>
      </c>
      <c r="C12" s="83">
        <v>45399</v>
      </c>
      <c r="D12" s="45" t="s">
        <v>67</v>
      </c>
      <c r="E12" s="45" t="s">
        <v>69</v>
      </c>
      <c r="F12" s="45" t="s">
        <v>70</v>
      </c>
      <c r="G12" s="45">
        <v>3</v>
      </c>
      <c r="H12" s="84">
        <v>179.97</v>
      </c>
      <c r="I12" s="45" t="s">
        <v>72</v>
      </c>
      <c r="J12" s="45" t="s">
        <v>94</v>
      </c>
    </row>
    <row r="13" spans="1:10">
      <c r="A13" s="82">
        <v>4</v>
      </c>
      <c r="B13" s="45" t="s">
        <v>74</v>
      </c>
      <c r="C13" s="83">
        <v>45400</v>
      </c>
      <c r="D13" s="45" t="s">
        <v>76</v>
      </c>
      <c r="E13" s="45" t="s">
        <v>99</v>
      </c>
      <c r="F13" s="45" t="s">
        <v>56</v>
      </c>
      <c r="G13" s="45">
        <v>3</v>
      </c>
      <c r="H13" s="84">
        <v>2699.97</v>
      </c>
      <c r="I13" s="45" t="s">
        <v>100</v>
      </c>
      <c r="J13" s="45" t="s">
        <v>71</v>
      </c>
    </row>
    <row r="14" spans="1:10">
      <c r="A14" s="82">
        <v>5</v>
      </c>
      <c r="B14" s="45" t="s">
        <v>78</v>
      </c>
      <c r="C14" s="83">
        <v>45400</v>
      </c>
      <c r="D14" s="45" t="s">
        <v>80</v>
      </c>
      <c r="E14" s="45" t="s">
        <v>69</v>
      </c>
      <c r="F14" s="45" t="s">
        <v>70</v>
      </c>
      <c r="G14" s="45">
        <v>3</v>
      </c>
      <c r="H14" s="84">
        <v>179.97</v>
      </c>
      <c r="I14" s="45" t="s">
        <v>87</v>
      </c>
      <c r="J14" s="45" t="s">
        <v>57</v>
      </c>
    </row>
    <row r="15" spans="1:10">
      <c r="A15" s="82">
        <v>6</v>
      </c>
      <c r="B15" s="45" t="s">
        <v>84</v>
      </c>
      <c r="C15" s="83">
        <v>45403</v>
      </c>
      <c r="D15" s="45" t="s">
        <v>86</v>
      </c>
      <c r="E15" s="45" t="s">
        <v>82</v>
      </c>
      <c r="F15" s="45" t="s">
        <v>83</v>
      </c>
      <c r="G15" s="45">
        <v>1</v>
      </c>
      <c r="H15" s="84">
        <v>149.99</v>
      </c>
      <c r="I15" s="45" t="s">
        <v>87</v>
      </c>
      <c r="J15" s="45" t="s">
        <v>63</v>
      </c>
    </row>
    <row r="16" spans="1:10">
      <c r="A16" s="82">
        <v>7</v>
      </c>
      <c r="B16" s="45" t="s">
        <v>88</v>
      </c>
      <c r="C16" s="83">
        <v>45403</v>
      </c>
      <c r="D16" s="45" t="s">
        <v>86</v>
      </c>
      <c r="E16" s="45" t="s">
        <v>82</v>
      </c>
      <c r="F16" s="45" t="s">
        <v>83</v>
      </c>
      <c r="G16" s="45">
        <v>5</v>
      </c>
      <c r="H16" s="84">
        <v>749.95</v>
      </c>
      <c r="I16" s="45" t="s">
        <v>77</v>
      </c>
      <c r="J16" s="45" t="s">
        <v>94</v>
      </c>
    </row>
    <row r="17" spans="1:10">
      <c r="A17" s="82">
        <v>8</v>
      </c>
      <c r="B17" s="45" t="s">
        <v>91</v>
      </c>
      <c r="C17" s="83">
        <v>45403</v>
      </c>
      <c r="D17" s="45" t="s">
        <v>93</v>
      </c>
      <c r="E17" s="45" t="s">
        <v>82</v>
      </c>
      <c r="F17" s="45" t="s">
        <v>83</v>
      </c>
      <c r="G17" s="45">
        <v>3</v>
      </c>
      <c r="H17" s="84">
        <v>449.97</v>
      </c>
      <c r="I17" s="45" t="s">
        <v>77</v>
      </c>
      <c r="J17" s="45" t="s">
        <v>57</v>
      </c>
    </row>
    <row r="18" spans="1:10">
      <c r="A18" s="82">
        <v>9</v>
      </c>
      <c r="B18" s="45" t="s">
        <v>95</v>
      </c>
      <c r="C18" s="83">
        <v>45405</v>
      </c>
      <c r="D18" s="45" t="s">
        <v>97</v>
      </c>
      <c r="E18" s="45" t="s">
        <v>69</v>
      </c>
      <c r="F18" s="45" t="s">
        <v>70</v>
      </c>
      <c r="G18" s="45">
        <v>3</v>
      </c>
      <c r="H18" s="84">
        <v>179.97</v>
      </c>
      <c r="I18" s="45" t="s">
        <v>77</v>
      </c>
      <c r="J18" s="45" t="s">
        <v>63</v>
      </c>
    </row>
    <row r="19" spans="1:10">
      <c r="A19" s="82">
        <v>10</v>
      </c>
      <c r="B19" s="45" t="s">
        <v>101</v>
      </c>
      <c r="C19" s="83">
        <v>45408</v>
      </c>
      <c r="D19" s="45" t="s">
        <v>103</v>
      </c>
      <c r="E19" s="45" t="s">
        <v>118</v>
      </c>
      <c r="F19" s="45" t="s">
        <v>56</v>
      </c>
      <c r="G19" s="45">
        <v>3</v>
      </c>
      <c r="H19" s="84">
        <v>2099.9699999999998</v>
      </c>
      <c r="I19" s="45" t="s">
        <v>87</v>
      </c>
      <c r="J19" s="45" t="s">
        <v>63</v>
      </c>
    </row>
    <row r="20" spans="1:10">
      <c r="A20" s="82">
        <v>11</v>
      </c>
      <c r="B20" s="45" t="s">
        <v>104</v>
      </c>
      <c r="C20" s="83">
        <v>45408</v>
      </c>
      <c r="D20" s="45" t="s">
        <v>106</v>
      </c>
      <c r="E20" s="45" t="s">
        <v>99</v>
      </c>
      <c r="F20" s="45" t="s">
        <v>56</v>
      </c>
      <c r="G20" s="45">
        <v>1</v>
      </c>
      <c r="H20" s="84">
        <v>899.99</v>
      </c>
      <c r="I20" s="45" t="s">
        <v>77</v>
      </c>
      <c r="J20" s="45" t="s">
        <v>94</v>
      </c>
    </row>
    <row r="21" spans="1:10">
      <c r="A21" s="82">
        <v>12</v>
      </c>
      <c r="B21" s="45" t="s">
        <v>107</v>
      </c>
      <c r="C21" s="83">
        <v>45408</v>
      </c>
      <c r="D21" s="45" t="s">
        <v>76</v>
      </c>
      <c r="E21" s="45" t="s">
        <v>82</v>
      </c>
      <c r="F21" s="45" t="s">
        <v>83</v>
      </c>
      <c r="G21" s="45">
        <v>4</v>
      </c>
      <c r="H21" s="84">
        <v>599.96</v>
      </c>
      <c r="I21" s="45" t="s">
        <v>77</v>
      </c>
      <c r="J21" s="45" t="s">
        <v>94</v>
      </c>
    </row>
    <row r="22" spans="1:10">
      <c r="A22" s="82">
        <v>13</v>
      </c>
      <c r="B22" s="45" t="s">
        <v>108</v>
      </c>
      <c r="C22" s="83">
        <v>45408</v>
      </c>
      <c r="D22" s="45" t="s">
        <v>110</v>
      </c>
      <c r="E22" s="45" t="s">
        <v>118</v>
      </c>
      <c r="F22" s="45" t="s">
        <v>56</v>
      </c>
      <c r="G22" s="45">
        <v>2</v>
      </c>
      <c r="H22" s="84">
        <v>1399.98</v>
      </c>
      <c r="I22" s="45" t="s">
        <v>77</v>
      </c>
      <c r="J22" s="45" t="s">
        <v>57</v>
      </c>
    </row>
    <row r="23" spans="1:10">
      <c r="A23" s="82">
        <v>14</v>
      </c>
      <c r="B23" s="45" t="s">
        <v>111</v>
      </c>
      <c r="C23" s="83">
        <v>45409</v>
      </c>
      <c r="D23" s="45" t="s">
        <v>113</v>
      </c>
      <c r="E23" s="45" t="s">
        <v>99</v>
      </c>
      <c r="F23" s="45" t="s">
        <v>56</v>
      </c>
      <c r="G23" s="45">
        <v>4</v>
      </c>
      <c r="H23" s="84">
        <v>3599.96</v>
      </c>
      <c r="I23" s="45" t="s">
        <v>87</v>
      </c>
      <c r="J23" s="45" t="s">
        <v>63</v>
      </c>
    </row>
    <row r="24" spans="1:10">
      <c r="A24" s="82">
        <v>15</v>
      </c>
      <c r="B24" s="45" t="s">
        <v>114</v>
      </c>
      <c r="C24" s="83">
        <v>45409</v>
      </c>
      <c r="D24" s="45" t="s">
        <v>116</v>
      </c>
      <c r="E24" s="45" t="s">
        <v>55</v>
      </c>
      <c r="F24" s="45" t="s">
        <v>56</v>
      </c>
      <c r="G24" s="45">
        <v>3</v>
      </c>
      <c r="H24" s="84">
        <v>749.97</v>
      </c>
      <c r="I24" s="45" t="s">
        <v>77</v>
      </c>
      <c r="J24" s="45" t="s">
        <v>63</v>
      </c>
    </row>
    <row r="25" spans="1:10">
      <c r="A25" s="82">
        <v>16</v>
      </c>
      <c r="B25" s="45" t="s">
        <v>119</v>
      </c>
      <c r="C25" s="83">
        <v>45409</v>
      </c>
      <c r="D25" s="45" t="s">
        <v>121</v>
      </c>
      <c r="E25" s="45" t="s">
        <v>118</v>
      </c>
      <c r="F25" s="45" t="s">
        <v>56</v>
      </c>
      <c r="G25" s="45">
        <v>5</v>
      </c>
      <c r="H25" s="84">
        <v>3499.95</v>
      </c>
      <c r="I25" s="45" t="s">
        <v>87</v>
      </c>
      <c r="J25" s="45" t="s">
        <v>57</v>
      </c>
    </row>
    <row r="26" spans="1:10">
      <c r="A26" s="82">
        <v>17</v>
      </c>
      <c r="B26" s="45" t="s">
        <v>122</v>
      </c>
      <c r="C26" s="83">
        <v>45410</v>
      </c>
      <c r="D26" s="45" t="s">
        <v>24</v>
      </c>
      <c r="E26" s="45" t="s">
        <v>118</v>
      </c>
      <c r="F26" s="45" t="s">
        <v>56</v>
      </c>
      <c r="G26" s="45">
        <v>4</v>
      </c>
      <c r="H26" s="84">
        <v>2799.96</v>
      </c>
      <c r="I26" s="45" t="s">
        <v>100</v>
      </c>
      <c r="J26" s="45" t="s">
        <v>57</v>
      </c>
    </row>
    <row r="27" spans="1:10">
      <c r="A27" s="82">
        <v>18</v>
      </c>
      <c r="B27" s="45" t="s">
        <v>124</v>
      </c>
      <c r="C27" s="83">
        <v>45410</v>
      </c>
      <c r="D27" s="45" t="s">
        <v>126</v>
      </c>
      <c r="E27" s="45" t="s">
        <v>55</v>
      </c>
      <c r="F27" s="45" t="s">
        <v>56</v>
      </c>
      <c r="G27" s="45">
        <v>4</v>
      </c>
      <c r="H27" s="84">
        <v>999.96</v>
      </c>
      <c r="I27" s="45" t="s">
        <v>77</v>
      </c>
      <c r="J27" s="45" t="s">
        <v>71</v>
      </c>
    </row>
    <row r="28" spans="1:10">
      <c r="A28" s="82">
        <v>19</v>
      </c>
      <c r="B28" s="45" t="s">
        <v>127</v>
      </c>
      <c r="C28" s="83">
        <v>45410</v>
      </c>
      <c r="D28" s="45" t="s">
        <v>24</v>
      </c>
      <c r="E28" s="45" t="s">
        <v>140</v>
      </c>
      <c r="F28" s="45" t="s">
        <v>83</v>
      </c>
      <c r="G28" s="45">
        <v>4</v>
      </c>
      <c r="H28" s="84">
        <v>1199.96</v>
      </c>
      <c r="I28" s="45" t="s">
        <v>87</v>
      </c>
      <c r="J28" s="45" t="s">
        <v>57</v>
      </c>
    </row>
    <row r="29" spans="1:10">
      <c r="A29" s="82">
        <v>20</v>
      </c>
      <c r="B29" s="45" t="s">
        <v>128</v>
      </c>
      <c r="C29" s="83">
        <v>45410</v>
      </c>
      <c r="D29" s="45" t="s">
        <v>130</v>
      </c>
      <c r="E29" s="45" t="s">
        <v>55</v>
      </c>
      <c r="F29" s="45" t="s">
        <v>56</v>
      </c>
      <c r="G29" s="45">
        <v>5</v>
      </c>
      <c r="H29" s="84">
        <v>1249.95</v>
      </c>
      <c r="I29" s="45" t="s">
        <v>87</v>
      </c>
      <c r="J29" s="45" t="s">
        <v>63</v>
      </c>
    </row>
    <row r="30" spans="1:10">
      <c r="A30" s="82">
        <v>21</v>
      </c>
      <c r="B30" s="45" t="s">
        <v>131</v>
      </c>
      <c r="C30" s="83">
        <v>45412</v>
      </c>
      <c r="D30" s="45" t="s">
        <v>28</v>
      </c>
      <c r="E30" s="45" t="s">
        <v>140</v>
      </c>
      <c r="F30" s="45" t="s">
        <v>83</v>
      </c>
      <c r="G30" s="45">
        <v>5</v>
      </c>
      <c r="H30" s="84">
        <v>1499.95</v>
      </c>
      <c r="I30" s="45" t="s">
        <v>100</v>
      </c>
      <c r="J30" s="45" t="s">
        <v>71</v>
      </c>
    </row>
    <row r="31" spans="1:10">
      <c r="A31" s="82">
        <v>22</v>
      </c>
      <c r="B31" s="45" t="s">
        <v>133</v>
      </c>
      <c r="C31" s="83">
        <v>45413</v>
      </c>
      <c r="D31" s="45" t="s">
        <v>30</v>
      </c>
      <c r="E31" s="45" t="s">
        <v>149</v>
      </c>
      <c r="F31" s="45" t="s">
        <v>70</v>
      </c>
      <c r="G31" s="45">
        <v>3</v>
      </c>
      <c r="H31" s="84">
        <v>239.97</v>
      </c>
      <c r="I31" s="45" t="s">
        <v>100</v>
      </c>
      <c r="J31" s="45" t="s">
        <v>71</v>
      </c>
    </row>
    <row r="32" spans="1:10">
      <c r="A32" s="82">
        <v>23</v>
      </c>
      <c r="B32" s="45" t="s">
        <v>135</v>
      </c>
      <c r="C32" s="83">
        <v>45415</v>
      </c>
      <c r="D32" s="45" t="s">
        <v>137</v>
      </c>
      <c r="E32" s="45" t="s">
        <v>152</v>
      </c>
      <c r="F32" s="45" t="s">
        <v>56</v>
      </c>
      <c r="G32" s="45">
        <v>5</v>
      </c>
      <c r="H32" s="84">
        <v>449.95</v>
      </c>
      <c r="I32" s="45" t="s">
        <v>77</v>
      </c>
      <c r="J32" s="45" t="s">
        <v>57</v>
      </c>
    </row>
    <row r="33" spans="1:10">
      <c r="A33" s="82">
        <v>24</v>
      </c>
      <c r="B33" s="45" t="s">
        <v>138</v>
      </c>
      <c r="C33" s="83">
        <v>45416</v>
      </c>
      <c r="D33" s="45" t="s">
        <v>24</v>
      </c>
      <c r="E33" s="45" t="s">
        <v>69</v>
      </c>
      <c r="F33" s="45" t="s">
        <v>70</v>
      </c>
      <c r="G33" s="45">
        <v>2</v>
      </c>
      <c r="H33" s="84">
        <v>119.98</v>
      </c>
      <c r="I33" s="45" t="s">
        <v>58</v>
      </c>
      <c r="J33" s="45" t="s">
        <v>94</v>
      </c>
    </row>
    <row r="34" spans="1:10">
      <c r="A34" s="82">
        <v>25</v>
      </c>
      <c r="B34" s="45" t="s">
        <v>141</v>
      </c>
      <c r="C34" s="83">
        <v>45422</v>
      </c>
      <c r="D34" s="45" t="s">
        <v>143</v>
      </c>
      <c r="E34" s="45" t="s">
        <v>69</v>
      </c>
      <c r="F34" s="45" t="s">
        <v>70</v>
      </c>
      <c r="G34" s="45">
        <v>4</v>
      </c>
      <c r="H34" s="84">
        <v>239.96</v>
      </c>
      <c r="I34" s="45" t="s">
        <v>100</v>
      </c>
      <c r="J34" s="45" t="s">
        <v>94</v>
      </c>
    </row>
    <row r="35" spans="1:10">
      <c r="A35" s="82">
        <v>26</v>
      </c>
      <c r="B35" s="45" t="s">
        <v>144</v>
      </c>
      <c r="C35" s="83">
        <v>45424</v>
      </c>
      <c r="D35" s="45" t="s">
        <v>106</v>
      </c>
      <c r="E35" s="45" t="s">
        <v>160</v>
      </c>
      <c r="F35" s="45" t="s">
        <v>83</v>
      </c>
      <c r="G35" s="45">
        <v>5</v>
      </c>
      <c r="H35" s="84">
        <v>999.95</v>
      </c>
      <c r="I35" s="45" t="s">
        <v>72</v>
      </c>
      <c r="J35" s="45" t="s">
        <v>57</v>
      </c>
    </row>
    <row r="36" spans="1:10">
      <c r="A36" s="82">
        <v>27</v>
      </c>
      <c r="B36" s="45" t="s">
        <v>145</v>
      </c>
      <c r="C36" s="83">
        <v>45424</v>
      </c>
      <c r="D36" s="45" t="s">
        <v>147</v>
      </c>
      <c r="E36" s="45" t="s">
        <v>82</v>
      </c>
      <c r="F36" s="45" t="s">
        <v>83</v>
      </c>
      <c r="G36" s="45">
        <v>2</v>
      </c>
      <c r="H36" s="84">
        <v>299.98</v>
      </c>
      <c r="I36" s="45" t="s">
        <v>87</v>
      </c>
      <c r="J36" s="45" t="s">
        <v>63</v>
      </c>
    </row>
    <row r="37" spans="1:10">
      <c r="A37" s="82">
        <v>28</v>
      </c>
      <c r="B37" s="45" t="s">
        <v>150</v>
      </c>
      <c r="C37" s="83">
        <v>45424</v>
      </c>
      <c r="D37" s="45" t="s">
        <v>30</v>
      </c>
      <c r="E37" s="45" t="s">
        <v>82</v>
      </c>
      <c r="F37" s="45" t="s">
        <v>83</v>
      </c>
      <c r="G37" s="45">
        <v>3</v>
      </c>
      <c r="H37" s="84">
        <v>449.97</v>
      </c>
      <c r="I37" s="45" t="s">
        <v>87</v>
      </c>
      <c r="J37" s="45" t="s">
        <v>63</v>
      </c>
    </row>
    <row r="38" spans="1:10">
      <c r="A38" s="82">
        <v>29</v>
      </c>
      <c r="B38" s="45" t="s">
        <v>153</v>
      </c>
      <c r="C38" s="83">
        <v>45425</v>
      </c>
      <c r="D38" s="45" t="s">
        <v>155</v>
      </c>
      <c r="E38" s="45" t="s">
        <v>99</v>
      </c>
      <c r="F38" s="45" t="s">
        <v>56</v>
      </c>
      <c r="G38" s="45">
        <v>1</v>
      </c>
      <c r="H38" s="84">
        <v>899.99</v>
      </c>
      <c r="I38" s="45" t="s">
        <v>87</v>
      </c>
      <c r="J38" s="45" t="s">
        <v>63</v>
      </c>
    </row>
    <row r="39" spans="1:10">
      <c r="A39" s="82">
        <v>30</v>
      </c>
      <c r="B39" s="45" t="s">
        <v>156</v>
      </c>
      <c r="C39" s="83">
        <v>45427</v>
      </c>
      <c r="D39" s="45" t="s">
        <v>26</v>
      </c>
      <c r="E39" s="45" t="s">
        <v>140</v>
      </c>
      <c r="F39" s="45" t="s">
        <v>83</v>
      </c>
      <c r="G39" s="45">
        <v>3</v>
      </c>
      <c r="H39" s="84">
        <v>899.97</v>
      </c>
      <c r="I39" s="45" t="s">
        <v>100</v>
      </c>
      <c r="J39" s="45" t="s">
        <v>63</v>
      </c>
    </row>
    <row r="40" spans="1:10">
      <c r="A40" s="82">
        <v>31</v>
      </c>
      <c r="B40" s="45" t="s">
        <v>158</v>
      </c>
      <c r="C40" s="83">
        <v>45427</v>
      </c>
      <c r="D40" s="45" t="s">
        <v>93</v>
      </c>
      <c r="E40" s="45" t="s">
        <v>149</v>
      </c>
      <c r="F40" s="45" t="s">
        <v>70</v>
      </c>
      <c r="G40" s="45">
        <v>3</v>
      </c>
      <c r="H40" s="84">
        <v>239.97</v>
      </c>
      <c r="I40" s="45" t="s">
        <v>72</v>
      </c>
      <c r="J40" s="45" t="s">
        <v>57</v>
      </c>
    </row>
    <row r="41" spans="1:10">
      <c r="A41" s="82">
        <v>32</v>
      </c>
      <c r="B41" s="45" t="s">
        <v>161</v>
      </c>
      <c r="C41" s="83">
        <v>45428</v>
      </c>
      <c r="D41" s="45" t="s">
        <v>163</v>
      </c>
      <c r="E41" s="45" t="s">
        <v>160</v>
      </c>
      <c r="F41" s="45" t="s">
        <v>83</v>
      </c>
      <c r="G41" s="45">
        <v>3</v>
      </c>
      <c r="H41" s="84">
        <v>599.97</v>
      </c>
      <c r="I41" s="45" t="s">
        <v>77</v>
      </c>
      <c r="J41" s="45" t="s">
        <v>63</v>
      </c>
    </row>
    <row r="42" spans="1:10">
      <c r="A42" s="82">
        <v>33</v>
      </c>
      <c r="B42" s="45" t="s">
        <v>164</v>
      </c>
      <c r="C42" s="83">
        <v>45430</v>
      </c>
      <c r="D42" s="45" t="s">
        <v>166</v>
      </c>
      <c r="E42" s="45" t="s">
        <v>118</v>
      </c>
      <c r="F42" s="45" t="s">
        <v>56</v>
      </c>
      <c r="G42" s="45">
        <v>5</v>
      </c>
      <c r="H42" s="84">
        <v>3499.95</v>
      </c>
      <c r="I42" s="45" t="s">
        <v>87</v>
      </c>
      <c r="J42" s="45" t="s">
        <v>71</v>
      </c>
    </row>
    <row r="43" spans="1:10">
      <c r="A43" s="82">
        <v>34</v>
      </c>
      <c r="B43" s="45" t="s">
        <v>167</v>
      </c>
      <c r="C43" s="83">
        <v>45432</v>
      </c>
      <c r="D43" s="45" t="s">
        <v>67</v>
      </c>
      <c r="E43" s="45" t="s">
        <v>152</v>
      </c>
      <c r="F43" s="45" t="s">
        <v>56</v>
      </c>
      <c r="G43" s="45">
        <v>3</v>
      </c>
      <c r="H43" s="84">
        <v>269.97000000000003</v>
      </c>
      <c r="I43" s="45" t="s">
        <v>58</v>
      </c>
      <c r="J43" s="45" t="s">
        <v>71</v>
      </c>
    </row>
    <row r="44" spans="1:10">
      <c r="A44" s="82">
        <v>35</v>
      </c>
      <c r="B44" s="45" t="s">
        <v>168</v>
      </c>
      <c r="C44" s="83">
        <v>45434</v>
      </c>
      <c r="D44" s="45" t="s">
        <v>30</v>
      </c>
      <c r="E44" s="45" t="s">
        <v>149</v>
      </c>
      <c r="F44" s="45" t="s">
        <v>70</v>
      </c>
      <c r="G44" s="45">
        <v>1</v>
      </c>
      <c r="H44" s="84">
        <v>79.989999999999995</v>
      </c>
      <c r="I44" s="45" t="s">
        <v>77</v>
      </c>
      <c r="J44" s="45" t="s">
        <v>57</v>
      </c>
    </row>
    <row r="45" spans="1:10">
      <c r="A45" s="82">
        <v>36</v>
      </c>
      <c r="B45" s="45" t="s">
        <v>169</v>
      </c>
      <c r="C45" s="83">
        <v>45435</v>
      </c>
      <c r="D45" s="45" t="s">
        <v>163</v>
      </c>
      <c r="E45" s="45" t="s">
        <v>69</v>
      </c>
      <c r="F45" s="45" t="s">
        <v>70</v>
      </c>
      <c r="G45" s="45">
        <v>2</v>
      </c>
      <c r="H45" s="84">
        <v>119.98</v>
      </c>
      <c r="I45" s="45" t="s">
        <v>87</v>
      </c>
      <c r="J45" s="45" t="s">
        <v>57</v>
      </c>
    </row>
    <row r="46" spans="1:10">
      <c r="A46" s="82">
        <v>37</v>
      </c>
      <c r="B46" s="45" t="s">
        <v>170</v>
      </c>
      <c r="C46" s="83">
        <v>45438</v>
      </c>
      <c r="D46" s="45" t="s">
        <v>172</v>
      </c>
      <c r="E46" s="45" t="s">
        <v>152</v>
      </c>
      <c r="F46" s="45" t="s">
        <v>56</v>
      </c>
      <c r="G46" s="45">
        <v>1</v>
      </c>
      <c r="H46" s="84">
        <v>89.99</v>
      </c>
      <c r="I46" s="45" t="s">
        <v>77</v>
      </c>
      <c r="J46" s="45" t="s">
        <v>57</v>
      </c>
    </row>
    <row r="47" spans="1:10">
      <c r="A47" s="82">
        <v>38</v>
      </c>
      <c r="B47" s="45" t="s">
        <v>173</v>
      </c>
      <c r="C47" s="83">
        <v>45440</v>
      </c>
      <c r="D47" s="45" t="s">
        <v>175</v>
      </c>
      <c r="E47" s="45" t="s">
        <v>152</v>
      </c>
      <c r="F47" s="45" t="s">
        <v>56</v>
      </c>
      <c r="G47" s="45">
        <v>5</v>
      </c>
      <c r="H47" s="84">
        <v>449.95</v>
      </c>
      <c r="I47" s="45" t="s">
        <v>100</v>
      </c>
      <c r="J47" s="45" t="s">
        <v>63</v>
      </c>
    </row>
    <row r="48" spans="1:10">
      <c r="A48" s="82">
        <v>39</v>
      </c>
      <c r="B48" s="45" t="s">
        <v>176</v>
      </c>
      <c r="C48" s="83">
        <v>45441</v>
      </c>
      <c r="D48" s="45" t="s">
        <v>178</v>
      </c>
      <c r="E48" s="45" t="s">
        <v>55</v>
      </c>
      <c r="F48" s="45" t="s">
        <v>56</v>
      </c>
      <c r="G48" s="45">
        <v>5</v>
      </c>
      <c r="H48" s="84">
        <v>1249.95</v>
      </c>
      <c r="I48" s="45" t="s">
        <v>100</v>
      </c>
      <c r="J48" s="45" t="s">
        <v>63</v>
      </c>
    </row>
    <row r="49" spans="1:10">
      <c r="A49" s="82">
        <v>40</v>
      </c>
      <c r="B49" s="45" t="s">
        <v>179</v>
      </c>
      <c r="C49" s="83">
        <v>45443</v>
      </c>
      <c r="D49" s="45" t="s">
        <v>181</v>
      </c>
      <c r="E49" s="45" t="s">
        <v>152</v>
      </c>
      <c r="F49" s="45" t="s">
        <v>56</v>
      </c>
      <c r="G49" s="45">
        <v>1</v>
      </c>
      <c r="H49" s="84">
        <v>89.99</v>
      </c>
      <c r="I49" s="45" t="s">
        <v>72</v>
      </c>
      <c r="J49" s="45" t="s">
        <v>63</v>
      </c>
    </row>
    <row r="50" spans="1:10">
      <c r="A50" s="82">
        <v>41</v>
      </c>
      <c r="B50" s="45" t="s">
        <v>182</v>
      </c>
      <c r="C50" s="83">
        <v>45444</v>
      </c>
      <c r="D50" s="45" t="s">
        <v>184</v>
      </c>
      <c r="E50" s="45" t="s">
        <v>82</v>
      </c>
      <c r="F50" s="45" t="s">
        <v>83</v>
      </c>
      <c r="G50" s="45">
        <v>2</v>
      </c>
      <c r="H50" s="84">
        <v>299.98</v>
      </c>
      <c r="I50" s="45" t="s">
        <v>100</v>
      </c>
      <c r="J50" s="45" t="s">
        <v>57</v>
      </c>
    </row>
    <row r="51" spans="1:10">
      <c r="A51" s="82">
        <v>42</v>
      </c>
      <c r="B51" s="45" t="s">
        <v>185</v>
      </c>
      <c r="C51" s="83">
        <v>45444</v>
      </c>
      <c r="D51" s="45" t="s">
        <v>93</v>
      </c>
      <c r="E51" s="45" t="s">
        <v>69</v>
      </c>
      <c r="F51" s="45" t="s">
        <v>70</v>
      </c>
      <c r="G51" s="45">
        <v>4</v>
      </c>
      <c r="H51" s="84">
        <v>239.96</v>
      </c>
      <c r="I51" s="45" t="s">
        <v>100</v>
      </c>
      <c r="J51" s="45" t="s">
        <v>57</v>
      </c>
    </row>
    <row r="52" spans="1:10">
      <c r="A52" s="82">
        <v>43</v>
      </c>
      <c r="B52" s="45" t="s">
        <v>186</v>
      </c>
      <c r="C52" s="83">
        <v>45446</v>
      </c>
      <c r="D52" s="45" t="s">
        <v>188</v>
      </c>
      <c r="E52" s="45" t="s">
        <v>152</v>
      </c>
      <c r="F52" s="45" t="s">
        <v>56</v>
      </c>
      <c r="G52" s="45">
        <v>5</v>
      </c>
      <c r="H52" s="84">
        <v>449.95</v>
      </c>
      <c r="I52" s="45" t="s">
        <v>58</v>
      </c>
      <c r="J52" s="45" t="s">
        <v>57</v>
      </c>
    </row>
    <row r="53" spans="1:10">
      <c r="A53" s="82">
        <v>44</v>
      </c>
      <c r="B53" s="45" t="s">
        <v>189</v>
      </c>
      <c r="C53" s="83">
        <v>45449</v>
      </c>
      <c r="D53" s="45" t="s">
        <v>62</v>
      </c>
      <c r="E53" s="45" t="s">
        <v>152</v>
      </c>
      <c r="F53" s="45" t="s">
        <v>56</v>
      </c>
      <c r="G53" s="45">
        <v>2</v>
      </c>
      <c r="H53" s="84">
        <v>179.98</v>
      </c>
      <c r="I53" s="45" t="s">
        <v>72</v>
      </c>
      <c r="J53" s="45" t="s">
        <v>63</v>
      </c>
    </row>
    <row r="54" spans="1:10">
      <c r="A54" s="82">
        <v>45</v>
      </c>
      <c r="B54" s="45" t="s">
        <v>190</v>
      </c>
      <c r="C54" s="83">
        <v>45449</v>
      </c>
      <c r="D54" s="45" t="s">
        <v>192</v>
      </c>
      <c r="E54" s="45" t="s">
        <v>99</v>
      </c>
      <c r="F54" s="45" t="s">
        <v>56</v>
      </c>
      <c r="G54" s="45">
        <v>5</v>
      </c>
      <c r="H54" s="84">
        <v>4499.95</v>
      </c>
      <c r="I54" s="45" t="s">
        <v>72</v>
      </c>
      <c r="J54" s="45" t="s">
        <v>63</v>
      </c>
    </row>
    <row r="55" spans="1:10">
      <c r="A55" s="82">
        <v>46</v>
      </c>
      <c r="B55" s="45" t="s">
        <v>193</v>
      </c>
      <c r="C55" s="83">
        <v>45450</v>
      </c>
      <c r="D55" s="45" t="s">
        <v>80</v>
      </c>
      <c r="E55" s="45" t="s">
        <v>99</v>
      </c>
      <c r="F55" s="45" t="s">
        <v>56</v>
      </c>
      <c r="G55" s="45">
        <v>5</v>
      </c>
      <c r="H55" s="84">
        <v>4499.95</v>
      </c>
      <c r="I55" s="45" t="s">
        <v>100</v>
      </c>
      <c r="J55" s="45" t="s">
        <v>71</v>
      </c>
    </row>
    <row r="56" spans="1:10">
      <c r="A56" s="82">
        <v>47</v>
      </c>
      <c r="B56" s="45" t="s">
        <v>194</v>
      </c>
      <c r="C56" s="83">
        <v>45452</v>
      </c>
      <c r="D56" s="45" t="s">
        <v>196</v>
      </c>
      <c r="E56" s="45" t="s">
        <v>69</v>
      </c>
      <c r="F56" s="45" t="s">
        <v>70</v>
      </c>
      <c r="G56" s="45">
        <v>1</v>
      </c>
      <c r="H56" s="84">
        <v>59.99</v>
      </c>
      <c r="I56" s="45" t="s">
        <v>87</v>
      </c>
      <c r="J56" s="45" t="s">
        <v>94</v>
      </c>
    </row>
    <row r="57" spans="1:10">
      <c r="A57" s="82">
        <v>48</v>
      </c>
      <c r="B57" s="45" t="s">
        <v>197</v>
      </c>
      <c r="C57" s="83">
        <v>45456</v>
      </c>
      <c r="D57" s="45" t="s">
        <v>163</v>
      </c>
      <c r="E57" s="45" t="s">
        <v>140</v>
      </c>
      <c r="F57" s="45" t="s">
        <v>83</v>
      </c>
      <c r="G57" s="45">
        <v>2</v>
      </c>
      <c r="H57" s="84">
        <v>599.98</v>
      </c>
      <c r="I57" s="45" t="s">
        <v>100</v>
      </c>
      <c r="J57" s="45" t="s">
        <v>94</v>
      </c>
    </row>
    <row r="58" spans="1:10">
      <c r="A58" s="82">
        <v>49</v>
      </c>
      <c r="B58" s="45" t="s">
        <v>198</v>
      </c>
      <c r="C58" s="83">
        <v>45459</v>
      </c>
      <c r="D58" s="45" t="s">
        <v>30</v>
      </c>
      <c r="E58" s="45" t="s">
        <v>152</v>
      </c>
      <c r="F58" s="45" t="s">
        <v>56</v>
      </c>
      <c r="G58" s="45">
        <v>4</v>
      </c>
      <c r="H58" s="84">
        <v>359.96</v>
      </c>
      <c r="I58" s="45" t="s">
        <v>72</v>
      </c>
      <c r="J58" s="45" t="s">
        <v>94</v>
      </c>
    </row>
    <row r="59" spans="1:10">
      <c r="A59" s="82">
        <v>50</v>
      </c>
      <c r="B59" s="45" t="s">
        <v>199</v>
      </c>
      <c r="C59" s="83">
        <v>45459</v>
      </c>
      <c r="D59" s="45" t="s">
        <v>32</v>
      </c>
      <c r="E59" s="45" t="s">
        <v>149</v>
      </c>
      <c r="F59" s="45" t="s">
        <v>70</v>
      </c>
      <c r="G59" s="45">
        <v>1</v>
      </c>
      <c r="H59" s="84">
        <v>79.989999999999995</v>
      </c>
      <c r="I59" s="45" t="s">
        <v>58</v>
      </c>
      <c r="J59" s="45" t="s">
        <v>71</v>
      </c>
    </row>
    <row r="60" spans="1:10">
      <c r="A60" s="82">
        <v>51</v>
      </c>
      <c r="B60" s="45" t="s">
        <v>200</v>
      </c>
      <c r="C60" s="83">
        <v>45459</v>
      </c>
      <c r="D60" s="45" t="s">
        <v>26</v>
      </c>
      <c r="E60" s="45" t="s">
        <v>152</v>
      </c>
      <c r="F60" s="45" t="s">
        <v>56</v>
      </c>
      <c r="G60" s="45">
        <v>2</v>
      </c>
      <c r="H60" s="84">
        <v>179.98</v>
      </c>
      <c r="I60" s="45" t="s">
        <v>87</v>
      </c>
      <c r="J60" s="45" t="s">
        <v>57</v>
      </c>
    </row>
    <row r="61" spans="1:10">
      <c r="A61" s="82">
        <v>52</v>
      </c>
      <c r="B61" s="45" t="s">
        <v>201</v>
      </c>
      <c r="C61" s="83">
        <v>45460</v>
      </c>
      <c r="D61" s="45" t="s">
        <v>192</v>
      </c>
      <c r="E61" s="45" t="s">
        <v>118</v>
      </c>
      <c r="F61" s="45" t="s">
        <v>56</v>
      </c>
      <c r="G61" s="45">
        <v>3</v>
      </c>
      <c r="H61" s="84">
        <v>2099.9699999999998</v>
      </c>
      <c r="I61" s="45" t="s">
        <v>100</v>
      </c>
      <c r="J61" s="45" t="s">
        <v>63</v>
      </c>
    </row>
    <row r="62" spans="1:10">
      <c r="A62" s="82">
        <v>53</v>
      </c>
      <c r="B62" s="45" t="s">
        <v>202</v>
      </c>
      <c r="C62" s="83">
        <v>45460</v>
      </c>
      <c r="D62" s="45" t="s">
        <v>175</v>
      </c>
      <c r="E62" s="45" t="s">
        <v>99</v>
      </c>
      <c r="F62" s="45" t="s">
        <v>56</v>
      </c>
      <c r="G62" s="45">
        <v>4</v>
      </c>
      <c r="H62" s="84">
        <v>3599.96</v>
      </c>
      <c r="I62" s="45" t="s">
        <v>100</v>
      </c>
      <c r="J62" s="45" t="s">
        <v>63</v>
      </c>
    </row>
    <row r="63" spans="1:10">
      <c r="A63" s="82">
        <v>54</v>
      </c>
      <c r="B63" s="45" t="s">
        <v>203</v>
      </c>
      <c r="C63" s="83">
        <v>45468</v>
      </c>
      <c r="D63" s="45" t="s">
        <v>205</v>
      </c>
      <c r="E63" s="45" t="s">
        <v>82</v>
      </c>
      <c r="F63" s="45" t="s">
        <v>83</v>
      </c>
      <c r="G63" s="45">
        <v>1</v>
      </c>
      <c r="H63" s="84">
        <v>149.99</v>
      </c>
      <c r="I63" s="45" t="s">
        <v>100</v>
      </c>
      <c r="J63" s="45" t="s">
        <v>71</v>
      </c>
    </row>
    <row r="64" spans="1:10">
      <c r="A64" s="82">
        <v>55</v>
      </c>
      <c r="B64" s="45" t="s">
        <v>206</v>
      </c>
      <c r="C64" s="83">
        <v>45469</v>
      </c>
      <c r="D64" s="45" t="s">
        <v>67</v>
      </c>
      <c r="E64" s="45" t="s">
        <v>152</v>
      </c>
      <c r="F64" s="45" t="s">
        <v>56</v>
      </c>
      <c r="G64" s="45">
        <v>2</v>
      </c>
      <c r="H64" s="84">
        <v>179.98</v>
      </c>
      <c r="I64" s="45" t="s">
        <v>58</v>
      </c>
      <c r="J64" s="45" t="s">
        <v>71</v>
      </c>
    </row>
    <row r="65" spans="1:10">
      <c r="A65" s="82">
        <v>56</v>
      </c>
      <c r="B65" s="45" t="s">
        <v>207</v>
      </c>
      <c r="C65" s="83">
        <v>45469</v>
      </c>
      <c r="D65" s="45" t="s">
        <v>97</v>
      </c>
      <c r="E65" s="45" t="s">
        <v>152</v>
      </c>
      <c r="F65" s="45" t="s">
        <v>56</v>
      </c>
      <c r="G65" s="45">
        <v>1</v>
      </c>
      <c r="H65" s="84">
        <v>89.99</v>
      </c>
      <c r="I65" s="45" t="s">
        <v>87</v>
      </c>
      <c r="J65" s="45" t="s">
        <v>71</v>
      </c>
    </row>
    <row r="66" spans="1:10">
      <c r="A66" s="82">
        <v>57</v>
      </c>
      <c r="B66" s="45" t="s">
        <v>208</v>
      </c>
      <c r="C66" s="83">
        <v>45471</v>
      </c>
      <c r="D66" s="45" t="s">
        <v>76</v>
      </c>
      <c r="E66" s="45" t="s">
        <v>152</v>
      </c>
      <c r="F66" s="45" t="s">
        <v>56</v>
      </c>
      <c r="G66" s="45">
        <v>1</v>
      </c>
      <c r="H66" s="84">
        <v>89.99</v>
      </c>
      <c r="I66" s="45" t="s">
        <v>72</v>
      </c>
      <c r="J66" s="45" t="s">
        <v>57</v>
      </c>
    </row>
    <row r="67" spans="1:10">
      <c r="A67" s="82">
        <v>58</v>
      </c>
      <c r="B67" s="45" t="s">
        <v>209</v>
      </c>
      <c r="C67" s="83">
        <v>45471</v>
      </c>
      <c r="D67" s="45" t="s">
        <v>30</v>
      </c>
      <c r="E67" s="45" t="s">
        <v>149</v>
      </c>
      <c r="F67" s="45" t="s">
        <v>70</v>
      </c>
      <c r="G67" s="45">
        <v>5</v>
      </c>
      <c r="H67" s="84">
        <v>399.95</v>
      </c>
      <c r="I67" s="45" t="s">
        <v>58</v>
      </c>
      <c r="J67" s="45" t="s">
        <v>94</v>
      </c>
    </row>
    <row r="68" spans="1:10">
      <c r="A68" s="82">
        <v>59</v>
      </c>
      <c r="B68" s="45" t="s">
        <v>210</v>
      </c>
      <c r="C68" s="83">
        <v>45472</v>
      </c>
      <c r="D68" s="45" t="s">
        <v>155</v>
      </c>
      <c r="E68" s="45" t="s">
        <v>82</v>
      </c>
      <c r="F68" s="45" t="s">
        <v>83</v>
      </c>
      <c r="G68" s="45">
        <v>1</v>
      </c>
      <c r="H68" s="84">
        <v>149.99</v>
      </c>
      <c r="I68" s="45" t="s">
        <v>77</v>
      </c>
      <c r="J68" s="45" t="s">
        <v>71</v>
      </c>
    </row>
    <row r="69" spans="1:10">
      <c r="A69" s="82">
        <v>60</v>
      </c>
      <c r="B69" s="45" t="s">
        <v>211</v>
      </c>
      <c r="C69" s="83">
        <v>45474</v>
      </c>
      <c r="D69" s="45" t="s">
        <v>166</v>
      </c>
      <c r="E69" s="45" t="s">
        <v>118</v>
      </c>
      <c r="F69" s="45" t="s">
        <v>56</v>
      </c>
      <c r="G69" s="45">
        <v>2</v>
      </c>
      <c r="H69" s="84">
        <v>1399.98</v>
      </c>
      <c r="I69" s="45" t="s">
        <v>100</v>
      </c>
      <c r="J69" s="45" t="s">
        <v>71</v>
      </c>
    </row>
    <row r="70" spans="1:10">
      <c r="A70" s="82">
        <v>61</v>
      </c>
      <c r="B70" s="45" t="s">
        <v>212</v>
      </c>
      <c r="C70" s="83">
        <v>45475</v>
      </c>
      <c r="D70" s="45" t="s">
        <v>93</v>
      </c>
      <c r="E70" s="45" t="s">
        <v>152</v>
      </c>
      <c r="F70" s="45" t="s">
        <v>56</v>
      </c>
      <c r="G70" s="45">
        <v>5</v>
      </c>
      <c r="H70" s="84">
        <v>449.95</v>
      </c>
      <c r="I70" s="45" t="s">
        <v>77</v>
      </c>
      <c r="J70" s="45" t="s">
        <v>94</v>
      </c>
    </row>
    <row r="71" spans="1:10">
      <c r="A71" s="82">
        <v>62</v>
      </c>
      <c r="B71" s="45" t="s">
        <v>213</v>
      </c>
      <c r="C71" s="83">
        <v>45476</v>
      </c>
      <c r="D71" s="45" t="s">
        <v>106</v>
      </c>
      <c r="E71" s="45" t="s">
        <v>69</v>
      </c>
      <c r="F71" s="45" t="s">
        <v>70</v>
      </c>
      <c r="G71" s="45">
        <v>4</v>
      </c>
      <c r="H71" s="84">
        <v>239.96</v>
      </c>
      <c r="I71" s="45" t="s">
        <v>72</v>
      </c>
      <c r="J71" s="45" t="s">
        <v>57</v>
      </c>
    </row>
    <row r="72" spans="1:10">
      <c r="A72" s="82">
        <v>63</v>
      </c>
      <c r="B72" s="45" t="s">
        <v>214</v>
      </c>
      <c r="C72" s="83">
        <v>45476</v>
      </c>
      <c r="D72" s="45" t="s">
        <v>216</v>
      </c>
      <c r="E72" s="45" t="s">
        <v>90</v>
      </c>
      <c r="F72" s="45" t="s">
        <v>56</v>
      </c>
      <c r="G72" s="45">
        <v>1</v>
      </c>
      <c r="H72" s="84">
        <v>149.99</v>
      </c>
      <c r="I72" s="45" t="s">
        <v>58</v>
      </c>
      <c r="J72" s="45" t="s">
        <v>57</v>
      </c>
    </row>
    <row r="73" spans="1:10">
      <c r="A73" s="82">
        <v>64</v>
      </c>
      <c r="B73" s="45" t="s">
        <v>217</v>
      </c>
      <c r="C73" s="83">
        <v>45481</v>
      </c>
      <c r="D73" s="45" t="s">
        <v>219</v>
      </c>
      <c r="E73" s="45" t="s">
        <v>140</v>
      </c>
      <c r="F73" s="45" t="s">
        <v>83</v>
      </c>
      <c r="G73" s="45">
        <v>1</v>
      </c>
      <c r="H73" s="84">
        <v>299.99</v>
      </c>
      <c r="I73" s="45" t="s">
        <v>77</v>
      </c>
      <c r="J73" s="45" t="s">
        <v>63</v>
      </c>
    </row>
    <row r="74" spans="1:10">
      <c r="A74" s="82">
        <v>65</v>
      </c>
      <c r="B74" s="45" t="s">
        <v>220</v>
      </c>
      <c r="C74" s="83">
        <v>45481</v>
      </c>
      <c r="D74" s="45" t="s">
        <v>80</v>
      </c>
      <c r="E74" s="45" t="s">
        <v>160</v>
      </c>
      <c r="F74" s="45" t="s">
        <v>83</v>
      </c>
      <c r="G74" s="45">
        <v>2</v>
      </c>
      <c r="H74" s="84">
        <v>399.98</v>
      </c>
      <c r="I74" s="45" t="s">
        <v>77</v>
      </c>
      <c r="J74" s="45" t="s">
        <v>57</v>
      </c>
    </row>
    <row r="75" spans="1:10">
      <c r="A75" s="82">
        <v>66</v>
      </c>
      <c r="B75" s="45" t="s">
        <v>221</v>
      </c>
      <c r="C75" s="83">
        <v>45481</v>
      </c>
      <c r="D75" s="45" t="s">
        <v>28</v>
      </c>
      <c r="E75" s="45" t="s">
        <v>69</v>
      </c>
      <c r="F75" s="45" t="s">
        <v>70</v>
      </c>
      <c r="G75" s="45">
        <v>3</v>
      </c>
      <c r="H75" s="84">
        <v>179.97</v>
      </c>
      <c r="I75" s="45" t="s">
        <v>87</v>
      </c>
      <c r="J75" s="45" t="s">
        <v>63</v>
      </c>
    </row>
    <row r="76" spans="1:10">
      <c r="A76" s="82">
        <v>67</v>
      </c>
      <c r="B76" s="45" t="s">
        <v>222</v>
      </c>
      <c r="C76" s="83">
        <v>45482</v>
      </c>
      <c r="D76" s="45" t="s">
        <v>205</v>
      </c>
      <c r="E76" s="45" t="s">
        <v>82</v>
      </c>
      <c r="F76" s="45" t="s">
        <v>83</v>
      </c>
      <c r="G76" s="45">
        <v>3</v>
      </c>
      <c r="H76" s="84">
        <v>449.97</v>
      </c>
      <c r="I76" s="45" t="s">
        <v>58</v>
      </c>
      <c r="J76" s="45" t="s">
        <v>57</v>
      </c>
    </row>
    <row r="77" spans="1:10">
      <c r="A77" s="82">
        <v>68</v>
      </c>
      <c r="B77" s="45" t="s">
        <v>223</v>
      </c>
      <c r="C77" s="83">
        <v>45484</v>
      </c>
      <c r="D77" s="45" t="s">
        <v>62</v>
      </c>
      <c r="E77" s="45" t="s">
        <v>160</v>
      </c>
      <c r="F77" s="45" t="s">
        <v>83</v>
      </c>
      <c r="G77" s="45">
        <v>3</v>
      </c>
      <c r="H77" s="84">
        <v>599.97</v>
      </c>
      <c r="I77" s="45" t="s">
        <v>77</v>
      </c>
      <c r="J77" s="45" t="s">
        <v>57</v>
      </c>
    </row>
    <row r="78" spans="1:10">
      <c r="A78" s="82">
        <v>69</v>
      </c>
      <c r="B78" s="45" t="s">
        <v>224</v>
      </c>
      <c r="C78" s="83">
        <v>45484</v>
      </c>
      <c r="D78" s="45" t="s">
        <v>226</v>
      </c>
      <c r="E78" s="45" t="s">
        <v>99</v>
      </c>
      <c r="F78" s="45" t="s">
        <v>56</v>
      </c>
      <c r="G78" s="45">
        <v>1</v>
      </c>
      <c r="H78" s="84">
        <v>899.99</v>
      </c>
      <c r="I78" s="45" t="s">
        <v>58</v>
      </c>
      <c r="J78" s="45" t="s">
        <v>57</v>
      </c>
    </row>
    <row r="79" spans="1:10">
      <c r="A79" s="82">
        <v>70</v>
      </c>
      <c r="B79" s="45" t="s">
        <v>227</v>
      </c>
      <c r="C79" s="83">
        <v>45487</v>
      </c>
      <c r="D79" s="45" t="s">
        <v>226</v>
      </c>
      <c r="E79" s="45" t="s">
        <v>99</v>
      </c>
      <c r="F79" s="45" t="s">
        <v>56</v>
      </c>
      <c r="G79" s="45">
        <v>5</v>
      </c>
      <c r="H79" s="84">
        <v>4499.95</v>
      </c>
      <c r="I79" s="45" t="s">
        <v>72</v>
      </c>
      <c r="J79" s="45" t="s">
        <v>94</v>
      </c>
    </row>
    <row r="80" spans="1:10">
      <c r="A80" s="82">
        <v>71</v>
      </c>
      <c r="B80" s="45" t="s">
        <v>228</v>
      </c>
      <c r="C80" s="83">
        <v>45490</v>
      </c>
      <c r="D80" s="45" t="s">
        <v>230</v>
      </c>
      <c r="E80" s="45" t="s">
        <v>69</v>
      </c>
      <c r="F80" s="45" t="s">
        <v>70</v>
      </c>
      <c r="G80" s="45">
        <v>2</v>
      </c>
      <c r="H80" s="84">
        <v>119.98</v>
      </c>
      <c r="I80" s="45" t="s">
        <v>77</v>
      </c>
      <c r="J80" s="45" t="s">
        <v>57</v>
      </c>
    </row>
    <row r="81" spans="1:10">
      <c r="A81" s="82">
        <v>72</v>
      </c>
      <c r="B81" s="45" t="s">
        <v>231</v>
      </c>
      <c r="C81" s="83">
        <v>45490</v>
      </c>
      <c r="D81" s="45" t="s">
        <v>110</v>
      </c>
      <c r="E81" s="45" t="s">
        <v>55</v>
      </c>
      <c r="F81" s="45" t="s">
        <v>56</v>
      </c>
      <c r="G81" s="45">
        <v>4</v>
      </c>
      <c r="H81" s="84">
        <v>999.96</v>
      </c>
      <c r="I81" s="45" t="s">
        <v>58</v>
      </c>
      <c r="J81" s="45" t="s">
        <v>94</v>
      </c>
    </row>
    <row r="82" spans="1:10">
      <c r="A82" s="82">
        <v>73</v>
      </c>
      <c r="B82" s="45" t="s">
        <v>232</v>
      </c>
      <c r="C82" s="83">
        <v>45491</v>
      </c>
      <c r="D82" s="45" t="s">
        <v>103</v>
      </c>
      <c r="E82" s="45" t="s">
        <v>55</v>
      </c>
      <c r="F82" s="45" t="s">
        <v>56</v>
      </c>
      <c r="G82" s="45">
        <v>2</v>
      </c>
      <c r="H82" s="84">
        <v>499.98</v>
      </c>
      <c r="I82" s="45" t="s">
        <v>77</v>
      </c>
      <c r="J82" s="45" t="s">
        <v>57</v>
      </c>
    </row>
    <row r="83" spans="1:10">
      <c r="A83" s="82">
        <v>74</v>
      </c>
      <c r="B83" s="45" t="s">
        <v>233</v>
      </c>
      <c r="C83" s="83">
        <v>45496</v>
      </c>
      <c r="D83" s="45" t="s">
        <v>184</v>
      </c>
      <c r="E83" s="45" t="s">
        <v>140</v>
      </c>
      <c r="F83" s="45" t="s">
        <v>83</v>
      </c>
      <c r="G83" s="45">
        <v>1</v>
      </c>
      <c r="H83" s="84">
        <v>299.99</v>
      </c>
      <c r="I83" s="45" t="s">
        <v>72</v>
      </c>
      <c r="J83" s="45" t="s">
        <v>57</v>
      </c>
    </row>
    <row r="84" spans="1:10">
      <c r="A84" s="82">
        <v>75</v>
      </c>
      <c r="B84" s="45" t="s">
        <v>234</v>
      </c>
      <c r="C84" s="83">
        <v>45497</v>
      </c>
      <c r="D84" s="45" t="s">
        <v>62</v>
      </c>
      <c r="E84" s="45" t="s">
        <v>152</v>
      </c>
      <c r="F84" s="45" t="s">
        <v>56</v>
      </c>
      <c r="G84" s="45">
        <v>2</v>
      </c>
      <c r="H84" s="84">
        <v>179.98</v>
      </c>
      <c r="I84" s="45" t="s">
        <v>72</v>
      </c>
      <c r="J84" s="45" t="s">
        <v>71</v>
      </c>
    </row>
    <row r="85" spans="1:10">
      <c r="A85" s="82">
        <v>76</v>
      </c>
      <c r="B85" s="45" t="s">
        <v>235</v>
      </c>
      <c r="C85" s="83">
        <v>45498</v>
      </c>
      <c r="D85" s="45" t="s">
        <v>216</v>
      </c>
      <c r="E85" s="45" t="s">
        <v>140</v>
      </c>
      <c r="F85" s="45" t="s">
        <v>83</v>
      </c>
      <c r="G85" s="45">
        <v>3</v>
      </c>
      <c r="H85" s="84">
        <v>899.97</v>
      </c>
      <c r="I85" s="45" t="s">
        <v>58</v>
      </c>
      <c r="J85" s="45" t="s">
        <v>57</v>
      </c>
    </row>
    <row r="86" spans="1:10">
      <c r="A86" s="82">
        <v>77</v>
      </c>
      <c r="B86" s="45" t="s">
        <v>236</v>
      </c>
      <c r="C86" s="83">
        <v>45498</v>
      </c>
      <c r="D86" s="45" t="s">
        <v>230</v>
      </c>
      <c r="E86" s="45" t="s">
        <v>118</v>
      </c>
      <c r="F86" s="45" t="s">
        <v>56</v>
      </c>
      <c r="G86" s="45">
        <v>2</v>
      </c>
      <c r="H86" s="84">
        <v>1399.98</v>
      </c>
      <c r="I86" s="45" t="s">
        <v>77</v>
      </c>
      <c r="J86" s="45" t="s">
        <v>63</v>
      </c>
    </row>
    <row r="87" spans="1:10">
      <c r="A87" s="82">
        <v>78</v>
      </c>
      <c r="B87" s="45" t="s">
        <v>237</v>
      </c>
      <c r="C87" s="83">
        <v>45500</v>
      </c>
      <c r="D87" s="45" t="s">
        <v>28</v>
      </c>
      <c r="E87" s="45" t="s">
        <v>99</v>
      </c>
      <c r="F87" s="45" t="s">
        <v>56</v>
      </c>
      <c r="G87" s="45">
        <v>4</v>
      </c>
      <c r="H87" s="84">
        <v>3599.96</v>
      </c>
      <c r="I87" s="45" t="s">
        <v>72</v>
      </c>
      <c r="J87" s="45" t="s">
        <v>94</v>
      </c>
    </row>
    <row r="88" spans="1:10">
      <c r="A88" s="82">
        <v>79</v>
      </c>
      <c r="B88" s="45" t="s">
        <v>238</v>
      </c>
      <c r="C88" s="83">
        <v>45500</v>
      </c>
      <c r="D88" s="45" t="s">
        <v>181</v>
      </c>
      <c r="E88" s="45" t="s">
        <v>82</v>
      </c>
      <c r="F88" s="45" t="s">
        <v>83</v>
      </c>
      <c r="G88" s="45">
        <v>2</v>
      </c>
      <c r="H88" s="84">
        <v>299.98</v>
      </c>
      <c r="I88" s="45" t="s">
        <v>87</v>
      </c>
      <c r="J88" s="45" t="s">
        <v>63</v>
      </c>
    </row>
    <row r="89" spans="1:10">
      <c r="A89" s="82">
        <v>80</v>
      </c>
      <c r="B89" s="45" t="s">
        <v>239</v>
      </c>
      <c r="C89" s="83">
        <v>45501</v>
      </c>
      <c r="D89" s="45" t="s">
        <v>24</v>
      </c>
      <c r="E89" s="45" t="s">
        <v>82</v>
      </c>
      <c r="F89" s="45" t="s">
        <v>83</v>
      </c>
      <c r="G89" s="45">
        <v>2</v>
      </c>
      <c r="H89" s="84">
        <v>299.98</v>
      </c>
      <c r="I89" s="45" t="s">
        <v>100</v>
      </c>
      <c r="J89" s="45" t="s">
        <v>94</v>
      </c>
    </row>
    <row r="90" spans="1:10">
      <c r="A90" s="82">
        <v>81</v>
      </c>
      <c r="B90" s="45" t="s">
        <v>240</v>
      </c>
      <c r="C90" s="83">
        <v>45501</v>
      </c>
      <c r="D90" s="45" t="s">
        <v>181</v>
      </c>
      <c r="E90" s="45" t="s">
        <v>152</v>
      </c>
      <c r="F90" s="45" t="s">
        <v>56</v>
      </c>
      <c r="G90" s="45">
        <v>1</v>
      </c>
      <c r="H90" s="84">
        <v>89.99</v>
      </c>
      <c r="I90" s="45" t="s">
        <v>77</v>
      </c>
      <c r="J90" s="45" t="s">
        <v>63</v>
      </c>
    </row>
    <row r="91" spans="1:10">
      <c r="A91" s="82">
        <v>82</v>
      </c>
      <c r="B91" s="45" t="s">
        <v>241</v>
      </c>
      <c r="C91" s="83">
        <v>45503</v>
      </c>
      <c r="D91" s="45" t="s">
        <v>24</v>
      </c>
      <c r="E91" s="45" t="s">
        <v>140</v>
      </c>
      <c r="F91" s="45" t="s">
        <v>83</v>
      </c>
      <c r="G91" s="45">
        <v>5</v>
      </c>
      <c r="H91" s="84">
        <v>1499.95</v>
      </c>
      <c r="I91" s="45" t="s">
        <v>77</v>
      </c>
      <c r="J91" s="45" t="s">
        <v>63</v>
      </c>
    </row>
    <row r="92" spans="1:10">
      <c r="A92" s="82">
        <v>83</v>
      </c>
      <c r="B92" s="45" t="s">
        <v>242</v>
      </c>
      <c r="C92" s="83">
        <v>45504</v>
      </c>
      <c r="D92" s="45" t="s">
        <v>155</v>
      </c>
      <c r="E92" s="45" t="s">
        <v>90</v>
      </c>
      <c r="F92" s="45" t="s">
        <v>56</v>
      </c>
      <c r="G92" s="45">
        <v>4</v>
      </c>
      <c r="H92" s="84">
        <v>599.96</v>
      </c>
      <c r="I92" s="45" t="s">
        <v>72</v>
      </c>
      <c r="J92" s="45" t="s">
        <v>94</v>
      </c>
    </row>
    <row r="93" spans="1:10">
      <c r="A93" s="82">
        <v>84</v>
      </c>
      <c r="B93" s="45" t="s">
        <v>243</v>
      </c>
      <c r="C93" s="83">
        <v>45509</v>
      </c>
      <c r="D93" s="45" t="s">
        <v>245</v>
      </c>
      <c r="E93" s="45" t="s">
        <v>55</v>
      </c>
      <c r="F93" s="45" t="s">
        <v>56</v>
      </c>
      <c r="G93" s="45">
        <v>5</v>
      </c>
      <c r="H93" s="84">
        <v>1249.95</v>
      </c>
      <c r="I93" s="45" t="s">
        <v>100</v>
      </c>
      <c r="J93" s="45" t="s">
        <v>71</v>
      </c>
    </row>
    <row r="94" spans="1:10">
      <c r="A94" s="82">
        <v>85</v>
      </c>
      <c r="B94" s="45" t="s">
        <v>246</v>
      </c>
      <c r="C94" s="83">
        <v>45510</v>
      </c>
      <c r="D94" s="45" t="s">
        <v>137</v>
      </c>
      <c r="E94" s="45" t="s">
        <v>55</v>
      </c>
      <c r="F94" s="45" t="s">
        <v>56</v>
      </c>
      <c r="G94" s="45">
        <v>3</v>
      </c>
      <c r="H94" s="84">
        <v>749.97</v>
      </c>
      <c r="I94" s="45" t="s">
        <v>77</v>
      </c>
      <c r="J94" s="45" t="s">
        <v>71</v>
      </c>
    </row>
    <row r="95" spans="1:10">
      <c r="A95" s="82">
        <v>86</v>
      </c>
      <c r="B95" s="45" t="s">
        <v>247</v>
      </c>
      <c r="C95" s="83">
        <v>45513</v>
      </c>
      <c r="D95" s="45" t="s">
        <v>126</v>
      </c>
      <c r="E95" s="45" t="s">
        <v>160</v>
      </c>
      <c r="F95" s="45" t="s">
        <v>83</v>
      </c>
      <c r="G95" s="45">
        <v>4</v>
      </c>
      <c r="H95" s="84">
        <v>799.96</v>
      </c>
      <c r="I95" s="45" t="s">
        <v>77</v>
      </c>
      <c r="J95" s="45" t="s">
        <v>57</v>
      </c>
    </row>
    <row r="96" spans="1:10">
      <c r="A96" s="82">
        <v>87</v>
      </c>
      <c r="B96" s="45" t="s">
        <v>248</v>
      </c>
      <c r="C96" s="83">
        <v>45515</v>
      </c>
      <c r="D96" s="45" t="s">
        <v>24</v>
      </c>
      <c r="E96" s="45" t="s">
        <v>160</v>
      </c>
      <c r="F96" s="45" t="s">
        <v>83</v>
      </c>
      <c r="G96" s="45">
        <v>5</v>
      </c>
      <c r="H96" s="84">
        <v>999.95</v>
      </c>
      <c r="I96" s="45" t="s">
        <v>77</v>
      </c>
      <c r="J96" s="45" t="s">
        <v>57</v>
      </c>
    </row>
    <row r="97" spans="1:10">
      <c r="A97" s="82">
        <v>88</v>
      </c>
      <c r="B97" s="45" t="s">
        <v>249</v>
      </c>
      <c r="C97" s="83">
        <v>45517</v>
      </c>
      <c r="D97" s="45" t="s">
        <v>216</v>
      </c>
      <c r="E97" s="45" t="s">
        <v>152</v>
      </c>
      <c r="F97" s="45" t="s">
        <v>56</v>
      </c>
      <c r="G97" s="45">
        <v>2</v>
      </c>
      <c r="H97" s="84">
        <v>179.98</v>
      </c>
      <c r="I97" s="45" t="s">
        <v>100</v>
      </c>
      <c r="J97" s="45" t="s">
        <v>57</v>
      </c>
    </row>
    <row r="98" spans="1:10">
      <c r="A98" s="82">
        <v>89</v>
      </c>
      <c r="B98" s="45" t="s">
        <v>250</v>
      </c>
      <c r="C98" s="83">
        <v>45517</v>
      </c>
      <c r="D98" s="45" t="s">
        <v>219</v>
      </c>
      <c r="E98" s="45" t="s">
        <v>99</v>
      </c>
      <c r="F98" s="45" t="s">
        <v>56</v>
      </c>
      <c r="G98" s="45">
        <v>5</v>
      </c>
      <c r="H98" s="84">
        <v>4499.95</v>
      </c>
      <c r="I98" s="45" t="s">
        <v>100</v>
      </c>
      <c r="J98" s="45" t="s">
        <v>94</v>
      </c>
    </row>
    <row r="99" spans="1:10">
      <c r="A99" s="82">
        <v>90</v>
      </c>
      <c r="B99" s="45" t="s">
        <v>251</v>
      </c>
      <c r="C99" s="83">
        <v>45517</v>
      </c>
      <c r="D99" s="45" t="s">
        <v>103</v>
      </c>
      <c r="E99" s="45" t="s">
        <v>90</v>
      </c>
      <c r="F99" s="45" t="s">
        <v>56</v>
      </c>
      <c r="G99" s="45">
        <v>3</v>
      </c>
      <c r="H99" s="84">
        <v>449.97</v>
      </c>
      <c r="I99" s="45" t="s">
        <v>100</v>
      </c>
      <c r="J99" s="45" t="s">
        <v>71</v>
      </c>
    </row>
    <row r="100" spans="1:10">
      <c r="A100" s="82">
        <v>91</v>
      </c>
      <c r="B100" s="45" t="s">
        <v>252</v>
      </c>
      <c r="C100" s="83">
        <v>45517</v>
      </c>
      <c r="D100" s="45" t="s">
        <v>76</v>
      </c>
      <c r="E100" s="45" t="s">
        <v>82</v>
      </c>
      <c r="F100" s="45" t="s">
        <v>83</v>
      </c>
      <c r="G100" s="45">
        <v>5</v>
      </c>
      <c r="H100" s="84">
        <v>749.95</v>
      </c>
      <c r="I100" s="45" t="s">
        <v>58</v>
      </c>
      <c r="J100" s="45" t="s">
        <v>63</v>
      </c>
    </row>
    <row r="101" spans="1:10">
      <c r="A101" s="82">
        <v>92</v>
      </c>
      <c r="B101" s="45" t="s">
        <v>253</v>
      </c>
      <c r="C101" s="83">
        <v>45519</v>
      </c>
      <c r="D101" s="45" t="s">
        <v>192</v>
      </c>
      <c r="E101" s="45" t="s">
        <v>149</v>
      </c>
      <c r="F101" s="45" t="s">
        <v>70</v>
      </c>
      <c r="G101" s="45">
        <v>3</v>
      </c>
      <c r="H101" s="84">
        <v>239.97</v>
      </c>
      <c r="I101" s="45" t="s">
        <v>58</v>
      </c>
      <c r="J101" s="45" t="s">
        <v>57</v>
      </c>
    </row>
    <row r="102" spans="1:10">
      <c r="A102" s="82">
        <v>93</v>
      </c>
      <c r="B102" s="45" t="s">
        <v>254</v>
      </c>
      <c r="C102" s="83">
        <v>45522</v>
      </c>
      <c r="D102" s="45" t="s">
        <v>24</v>
      </c>
      <c r="E102" s="45" t="s">
        <v>55</v>
      </c>
      <c r="F102" s="45" t="s">
        <v>56</v>
      </c>
      <c r="G102" s="45">
        <v>2</v>
      </c>
      <c r="H102" s="84">
        <v>499.98</v>
      </c>
      <c r="I102" s="45" t="s">
        <v>72</v>
      </c>
      <c r="J102" s="45" t="s">
        <v>57</v>
      </c>
    </row>
    <row r="103" spans="1:10">
      <c r="A103" s="82">
        <v>94</v>
      </c>
      <c r="B103" s="45" t="s">
        <v>255</v>
      </c>
      <c r="C103" s="83">
        <v>45523</v>
      </c>
      <c r="D103" s="45" t="s">
        <v>230</v>
      </c>
      <c r="E103" s="45" t="s">
        <v>118</v>
      </c>
      <c r="F103" s="45" t="s">
        <v>56</v>
      </c>
      <c r="G103" s="45">
        <v>1</v>
      </c>
      <c r="H103" s="84">
        <v>699.99</v>
      </c>
      <c r="I103" s="45" t="s">
        <v>58</v>
      </c>
      <c r="J103" s="45" t="s">
        <v>57</v>
      </c>
    </row>
    <row r="104" spans="1:10">
      <c r="A104" s="82">
        <v>95</v>
      </c>
      <c r="B104" s="45" t="s">
        <v>256</v>
      </c>
      <c r="C104" s="83">
        <v>45523</v>
      </c>
      <c r="D104" s="45" t="s">
        <v>143</v>
      </c>
      <c r="E104" s="45" t="s">
        <v>90</v>
      </c>
      <c r="F104" s="45" t="s">
        <v>56</v>
      </c>
      <c r="G104" s="45">
        <v>3</v>
      </c>
      <c r="H104" s="84">
        <v>449.97</v>
      </c>
      <c r="I104" s="45" t="s">
        <v>87</v>
      </c>
      <c r="J104" s="45" t="s">
        <v>57</v>
      </c>
    </row>
    <row r="105" spans="1:10">
      <c r="A105" s="82">
        <v>96</v>
      </c>
      <c r="B105" s="45" t="s">
        <v>257</v>
      </c>
      <c r="C105" s="83">
        <v>45526</v>
      </c>
      <c r="D105" s="45" t="s">
        <v>137</v>
      </c>
      <c r="E105" s="45" t="s">
        <v>118</v>
      </c>
      <c r="F105" s="45" t="s">
        <v>56</v>
      </c>
      <c r="G105" s="45">
        <v>2</v>
      </c>
      <c r="H105" s="84">
        <v>1399.98</v>
      </c>
      <c r="I105" s="45" t="s">
        <v>77</v>
      </c>
      <c r="J105" s="45" t="s">
        <v>63</v>
      </c>
    </row>
    <row r="106" spans="1:10">
      <c r="A106" s="82">
        <v>97</v>
      </c>
      <c r="B106" s="45" t="s">
        <v>258</v>
      </c>
      <c r="C106" s="83">
        <v>45528</v>
      </c>
      <c r="D106" s="45" t="s">
        <v>260</v>
      </c>
      <c r="E106" s="45" t="s">
        <v>55</v>
      </c>
      <c r="F106" s="45" t="s">
        <v>56</v>
      </c>
      <c r="G106" s="45">
        <v>1</v>
      </c>
      <c r="H106" s="84">
        <v>249.99</v>
      </c>
      <c r="I106" s="45" t="s">
        <v>87</v>
      </c>
      <c r="J106" s="45" t="s">
        <v>63</v>
      </c>
    </row>
    <row r="107" spans="1:10">
      <c r="A107" s="82">
        <v>98</v>
      </c>
      <c r="B107" s="45" t="s">
        <v>261</v>
      </c>
      <c r="C107" s="83">
        <v>45528</v>
      </c>
      <c r="D107" s="45" t="s">
        <v>178</v>
      </c>
      <c r="E107" s="45" t="s">
        <v>55</v>
      </c>
      <c r="F107" s="45" t="s">
        <v>56</v>
      </c>
      <c r="G107" s="45">
        <v>1</v>
      </c>
      <c r="H107" s="84">
        <v>249.99</v>
      </c>
      <c r="I107" s="45" t="s">
        <v>77</v>
      </c>
      <c r="J107" s="45" t="s">
        <v>94</v>
      </c>
    </row>
    <row r="108" spans="1:10">
      <c r="A108" s="82">
        <v>99</v>
      </c>
      <c r="B108" s="45" t="s">
        <v>262</v>
      </c>
      <c r="C108" s="83">
        <v>45532</v>
      </c>
      <c r="D108" s="45" t="s">
        <v>230</v>
      </c>
      <c r="E108" s="45" t="s">
        <v>118</v>
      </c>
      <c r="F108" s="45" t="s">
        <v>56</v>
      </c>
      <c r="G108" s="45">
        <v>2</v>
      </c>
      <c r="H108" s="84">
        <v>1399.98</v>
      </c>
      <c r="I108" s="45" t="s">
        <v>58</v>
      </c>
      <c r="J108" s="45" t="s">
        <v>94</v>
      </c>
    </row>
    <row r="109" spans="1:10">
      <c r="A109" s="82">
        <v>100</v>
      </c>
      <c r="B109" s="45" t="s">
        <v>263</v>
      </c>
      <c r="C109" s="83">
        <v>45532</v>
      </c>
      <c r="D109" s="45" t="s">
        <v>265</v>
      </c>
      <c r="E109" s="45" t="s">
        <v>69</v>
      </c>
      <c r="F109" s="45" t="s">
        <v>70</v>
      </c>
      <c r="G109" s="45">
        <v>3</v>
      </c>
      <c r="H109" s="84">
        <v>179.97</v>
      </c>
      <c r="I109" s="45" t="s">
        <v>58</v>
      </c>
      <c r="J109" s="45" t="s">
        <v>63</v>
      </c>
    </row>
    <row r="110" spans="1:10">
      <c r="A110" s="82">
        <v>101</v>
      </c>
      <c r="B110" s="45" t="s">
        <v>266</v>
      </c>
      <c r="C110" s="83">
        <v>45534</v>
      </c>
      <c r="D110" s="45" t="s">
        <v>268</v>
      </c>
      <c r="E110" s="45" t="s">
        <v>69</v>
      </c>
      <c r="F110" s="45" t="s">
        <v>70</v>
      </c>
      <c r="G110" s="45">
        <v>3</v>
      </c>
      <c r="H110" s="84">
        <v>179.97</v>
      </c>
      <c r="I110" s="45" t="s">
        <v>100</v>
      </c>
      <c r="J110" s="45" t="s">
        <v>71</v>
      </c>
    </row>
    <row r="111" spans="1:10">
      <c r="A111" s="82">
        <v>102</v>
      </c>
      <c r="B111" s="45" t="s">
        <v>269</v>
      </c>
      <c r="C111" s="83">
        <v>45537</v>
      </c>
      <c r="D111" s="45" t="s">
        <v>265</v>
      </c>
      <c r="E111" s="45" t="s">
        <v>149</v>
      </c>
      <c r="F111" s="45" t="s">
        <v>70</v>
      </c>
      <c r="G111" s="45">
        <v>4</v>
      </c>
      <c r="H111" s="84">
        <v>319.95999999999998</v>
      </c>
      <c r="I111" s="45" t="s">
        <v>77</v>
      </c>
      <c r="J111" s="45" t="s">
        <v>57</v>
      </c>
    </row>
    <row r="112" spans="1:10">
      <c r="A112" s="82">
        <v>103</v>
      </c>
      <c r="B112" s="45" t="s">
        <v>270</v>
      </c>
      <c r="C112" s="83">
        <v>45537</v>
      </c>
      <c r="D112" s="45" t="s">
        <v>32</v>
      </c>
      <c r="E112" s="45" t="s">
        <v>149</v>
      </c>
      <c r="F112" s="45" t="s">
        <v>70</v>
      </c>
      <c r="G112" s="45">
        <v>1</v>
      </c>
      <c r="H112" s="84">
        <v>79.989999999999995</v>
      </c>
      <c r="I112" s="45" t="s">
        <v>87</v>
      </c>
      <c r="J112" s="45" t="s">
        <v>57</v>
      </c>
    </row>
    <row r="113" spans="1:10">
      <c r="A113" s="82">
        <v>104</v>
      </c>
      <c r="B113" s="45" t="s">
        <v>271</v>
      </c>
      <c r="C113" s="83">
        <v>45538</v>
      </c>
      <c r="D113" s="45" t="s">
        <v>260</v>
      </c>
      <c r="E113" s="45" t="s">
        <v>140</v>
      </c>
      <c r="F113" s="45" t="s">
        <v>83</v>
      </c>
      <c r="G113" s="45">
        <v>3</v>
      </c>
      <c r="H113" s="84">
        <v>899.97</v>
      </c>
      <c r="I113" s="45" t="s">
        <v>58</v>
      </c>
      <c r="J113" s="45" t="s">
        <v>63</v>
      </c>
    </row>
    <row r="114" spans="1:10">
      <c r="A114" s="82">
        <v>105</v>
      </c>
      <c r="B114" s="45" t="s">
        <v>272</v>
      </c>
      <c r="C114" s="83">
        <v>45541</v>
      </c>
      <c r="D114" s="45" t="s">
        <v>172</v>
      </c>
      <c r="E114" s="45" t="s">
        <v>152</v>
      </c>
      <c r="F114" s="45" t="s">
        <v>56</v>
      </c>
      <c r="G114" s="45">
        <v>2</v>
      </c>
      <c r="H114" s="84">
        <v>179.98</v>
      </c>
      <c r="I114" s="45" t="s">
        <v>72</v>
      </c>
      <c r="J114" s="45" t="s">
        <v>63</v>
      </c>
    </row>
    <row r="115" spans="1:10">
      <c r="A115" s="82">
        <v>106</v>
      </c>
      <c r="B115" s="45" t="s">
        <v>273</v>
      </c>
      <c r="C115" s="83">
        <v>45544</v>
      </c>
      <c r="D115" s="45" t="s">
        <v>166</v>
      </c>
      <c r="E115" s="45" t="s">
        <v>90</v>
      </c>
      <c r="F115" s="45" t="s">
        <v>56</v>
      </c>
      <c r="G115" s="45">
        <v>4</v>
      </c>
      <c r="H115" s="84">
        <v>599.96</v>
      </c>
      <c r="I115" s="45" t="s">
        <v>77</v>
      </c>
      <c r="J115" s="45" t="s">
        <v>57</v>
      </c>
    </row>
    <row r="116" spans="1:10">
      <c r="A116" s="82">
        <v>107</v>
      </c>
      <c r="B116" s="45" t="s">
        <v>274</v>
      </c>
      <c r="C116" s="83">
        <v>45544</v>
      </c>
      <c r="D116" s="45" t="s">
        <v>175</v>
      </c>
      <c r="E116" s="45" t="s">
        <v>55</v>
      </c>
      <c r="F116" s="45" t="s">
        <v>56</v>
      </c>
      <c r="G116" s="45">
        <v>2</v>
      </c>
      <c r="H116" s="84">
        <v>499.98</v>
      </c>
      <c r="I116" s="45" t="s">
        <v>72</v>
      </c>
      <c r="J116" s="45" t="s">
        <v>71</v>
      </c>
    </row>
    <row r="117" spans="1:10">
      <c r="A117" s="82">
        <v>108</v>
      </c>
      <c r="B117" s="45" t="s">
        <v>275</v>
      </c>
      <c r="C117" s="83">
        <v>45545</v>
      </c>
      <c r="D117" s="45" t="s">
        <v>93</v>
      </c>
      <c r="E117" s="45" t="s">
        <v>160</v>
      </c>
      <c r="F117" s="45" t="s">
        <v>83</v>
      </c>
      <c r="G117" s="45">
        <v>4</v>
      </c>
      <c r="H117" s="84">
        <v>799.96</v>
      </c>
      <c r="I117" s="45" t="s">
        <v>100</v>
      </c>
      <c r="J117" s="45" t="s">
        <v>94</v>
      </c>
    </row>
    <row r="118" spans="1:10">
      <c r="A118" s="82">
        <v>109</v>
      </c>
      <c r="B118" s="45" t="s">
        <v>276</v>
      </c>
      <c r="C118" s="83">
        <v>45547</v>
      </c>
      <c r="D118" s="45" t="s">
        <v>86</v>
      </c>
      <c r="E118" s="45" t="s">
        <v>152</v>
      </c>
      <c r="F118" s="45" t="s">
        <v>56</v>
      </c>
      <c r="G118" s="45">
        <v>5</v>
      </c>
      <c r="H118" s="84">
        <v>449.95</v>
      </c>
      <c r="I118" s="45" t="s">
        <v>100</v>
      </c>
      <c r="J118" s="45" t="s">
        <v>63</v>
      </c>
    </row>
    <row r="119" spans="1:10">
      <c r="A119" s="82">
        <v>110</v>
      </c>
      <c r="B119" s="45" t="s">
        <v>277</v>
      </c>
      <c r="C119" s="83">
        <v>45548</v>
      </c>
      <c r="D119" s="45" t="s">
        <v>76</v>
      </c>
      <c r="E119" s="45" t="s">
        <v>90</v>
      </c>
      <c r="F119" s="45" t="s">
        <v>56</v>
      </c>
      <c r="G119" s="45">
        <v>1</v>
      </c>
      <c r="H119" s="84">
        <v>149.99</v>
      </c>
      <c r="I119" s="45" t="s">
        <v>100</v>
      </c>
      <c r="J119" s="45" t="s">
        <v>71</v>
      </c>
    </row>
    <row r="120" spans="1:10">
      <c r="A120" s="82">
        <v>111</v>
      </c>
      <c r="B120" s="45" t="s">
        <v>278</v>
      </c>
      <c r="C120" s="83">
        <v>45550</v>
      </c>
      <c r="D120" s="45" t="s">
        <v>280</v>
      </c>
      <c r="E120" s="45" t="s">
        <v>118</v>
      </c>
      <c r="F120" s="45" t="s">
        <v>56</v>
      </c>
      <c r="G120" s="45">
        <v>4</v>
      </c>
      <c r="H120" s="84">
        <v>2799.96</v>
      </c>
      <c r="I120" s="45" t="s">
        <v>72</v>
      </c>
      <c r="J120" s="45" t="s">
        <v>71</v>
      </c>
    </row>
    <row r="121" spans="1:10">
      <c r="A121" s="82">
        <v>112</v>
      </c>
      <c r="B121" s="45" t="s">
        <v>281</v>
      </c>
      <c r="C121" s="83">
        <v>45551</v>
      </c>
      <c r="D121" s="45" t="s">
        <v>103</v>
      </c>
      <c r="E121" s="45" t="s">
        <v>99</v>
      </c>
      <c r="F121" s="45" t="s">
        <v>56</v>
      </c>
      <c r="G121" s="45">
        <v>3</v>
      </c>
      <c r="H121" s="84">
        <v>2699.97</v>
      </c>
      <c r="I121" s="45" t="s">
        <v>77</v>
      </c>
      <c r="J121" s="45" t="s">
        <v>63</v>
      </c>
    </row>
    <row r="122" spans="1:10">
      <c r="A122" s="82">
        <v>113</v>
      </c>
      <c r="B122" s="45" t="s">
        <v>282</v>
      </c>
      <c r="C122" s="83">
        <v>45551</v>
      </c>
      <c r="D122" s="45" t="s">
        <v>188</v>
      </c>
      <c r="E122" s="45" t="s">
        <v>82</v>
      </c>
      <c r="F122" s="45" t="s">
        <v>83</v>
      </c>
      <c r="G122" s="45">
        <v>3</v>
      </c>
      <c r="H122" s="84">
        <v>449.97</v>
      </c>
      <c r="I122" s="45" t="s">
        <v>100</v>
      </c>
      <c r="J122" s="45" t="s">
        <v>71</v>
      </c>
    </row>
    <row r="123" spans="1:10">
      <c r="A123" s="82">
        <v>114</v>
      </c>
      <c r="B123" s="45" t="s">
        <v>283</v>
      </c>
      <c r="C123" s="83">
        <v>45554</v>
      </c>
      <c r="D123" s="45" t="s">
        <v>181</v>
      </c>
      <c r="E123" s="45" t="s">
        <v>140</v>
      </c>
      <c r="F123" s="45" t="s">
        <v>83</v>
      </c>
      <c r="G123" s="45">
        <v>2</v>
      </c>
      <c r="H123" s="84">
        <v>599.98</v>
      </c>
      <c r="I123" s="45" t="s">
        <v>58</v>
      </c>
      <c r="J123" s="45" t="s">
        <v>94</v>
      </c>
    </row>
    <row r="124" spans="1:10">
      <c r="A124" s="82">
        <v>115</v>
      </c>
      <c r="B124" s="45" t="s">
        <v>284</v>
      </c>
      <c r="C124" s="83">
        <v>45554</v>
      </c>
      <c r="D124" s="45" t="s">
        <v>286</v>
      </c>
      <c r="E124" s="45" t="s">
        <v>160</v>
      </c>
      <c r="F124" s="45" t="s">
        <v>83</v>
      </c>
      <c r="G124" s="45">
        <v>1</v>
      </c>
      <c r="H124" s="84">
        <v>199.99</v>
      </c>
      <c r="I124" s="45" t="s">
        <v>100</v>
      </c>
      <c r="J124" s="45" t="s">
        <v>94</v>
      </c>
    </row>
    <row r="125" spans="1:10">
      <c r="A125" s="82">
        <v>116</v>
      </c>
      <c r="B125" s="45" t="s">
        <v>287</v>
      </c>
      <c r="C125" s="83">
        <v>45554</v>
      </c>
      <c r="D125" s="45" t="s">
        <v>110</v>
      </c>
      <c r="E125" s="45" t="s">
        <v>140</v>
      </c>
      <c r="F125" s="45" t="s">
        <v>83</v>
      </c>
      <c r="G125" s="45">
        <v>4</v>
      </c>
      <c r="H125" s="84">
        <v>1199.96</v>
      </c>
      <c r="I125" s="45" t="s">
        <v>58</v>
      </c>
      <c r="J125" s="45" t="s">
        <v>57</v>
      </c>
    </row>
    <row r="126" spans="1:10">
      <c r="A126" s="82">
        <v>117</v>
      </c>
      <c r="B126" s="45" t="s">
        <v>288</v>
      </c>
      <c r="C126" s="83">
        <v>45559</v>
      </c>
      <c r="D126" s="45" t="s">
        <v>268</v>
      </c>
      <c r="E126" s="45" t="s">
        <v>69</v>
      </c>
      <c r="F126" s="45" t="s">
        <v>70</v>
      </c>
      <c r="G126" s="45">
        <v>2</v>
      </c>
      <c r="H126" s="84">
        <v>119.98</v>
      </c>
      <c r="I126" s="45" t="s">
        <v>58</v>
      </c>
      <c r="J126" s="45" t="s">
        <v>63</v>
      </c>
    </row>
    <row r="127" spans="1:10">
      <c r="A127" s="82">
        <v>118</v>
      </c>
      <c r="B127" s="45" t="s">
        <v>289</v>
      </c>
      <c r="C127" s="83">
        <v>45560</v>
      </c>
      <c r="D127" s="45" t="s">
        <v>147</v>
      </c>
      <c r="E127" s="45" t="s">
        <v>90</v>
      </c>
      <c r="F127" s="45" t="s">
        <v>56</v>
      </c>
      <c r="G127" s="45">
        <v>4</v>
      </c>
      <c r="H127" s="84">
        <v>599.96</v>
      </c>
      <c r="I127" s="45" t="s">
        <v>77</v>
      </c>
      <c r="J127" s="45" t="s">
        <v>63</v>
      </c>
    </row>
    <row r="128" spans="1:10">
      <c r="A128" s="82">
        <v>119</v>
      </c>
      <c r="B128" s="45" t="s">
        <v>290</v>
      </c>
      <c r="C128" s="83">
        <v>45563</v>
      </c>
      <c r="D128" s="45" t="s">
        <v>30</v>
      </c>
      <c r="E128" s="45" t="s">
        <v>118</v>
      </c>
      <c r="F128" s="45" t="s">
        <v>56</v>
      </c>
      <c r="G128" s="45">
        <v>2</v>
      </c>
      <c r="H128" s="84">
        <v>1399.98</v>
      </c>
      <c r="I128" s="45" t="s">
        <v>100</v>
      </c>
      <c r="J128" s="45" t="s">
        <v>94</v>
      </c>
    </row>
    <row r="129" spans="1:10">
      <c r="A129" s="82">
        <v>120</v>
      </c>
      <c r="B129" s="45" t="s">
        <v>291</v>
      </c>
      <c r="C129" s="83">
        <v>45564</v>
      </c>
      <c r="D129" s="45" t="s">
        <v>293</v>
      </c>
      <c r="E129" s="45" t="s">
        <v>82</v>
      </c>
      <c r="F129" s="45" t="s">
        <v>83</v>
      </c>
      <c r="G129" s="45">
        <v>3</v>
      </c>
      <c r="H129" s="84">
        <v>449.97</v>
      </c>
      <c r="I129" s="45" t="s">
        <v>72</v>
      </c>
      <c r="J129" s="45" t="s">
        <v>63</v>
      </c>
    </row>
    <row r="130" spans="1:10">
      <c r="A130" s="82">
        <v>121</v>
      </c>
      <c r="B130" s="45" t="s">
        <v>294</v>
      </c>
      <c r="C130" s="83">
        <v>45566</v>
      </c>
      <c r="D130" s="45" t="s">
        <v>80</v>
      </c>
      <c r="E130" s="45" t="s">
        <v>140</v>
      </c>
      <c r="F130" s="45" t="s">
        <v>83</v>
      </c>
      <c r="G130" s="45">
        <v>3</v>
      </c>
      <c r="H130" s="84">
        <v>899.97</v>
      </c>
      <c r="I130" s="45" t="s">
        <v>58</v>
      </c>
      <c r="J130" s="45" t="s">
        <v>63</v>
      </c>
    </row>
    <row r="131" spans="1:10">
      <c r="A131" s="82">
        <v>122</v>
      </c>
      <c r="B131" s="45" t="s">
        <v>295</v>
      </c>
      <c r="C131" s="83">
        <v>45572</v>
      </c>
      <c r="D131" s="45" t="s">
        <v>126</v>
      </c>
      <c r="E131" s="45" t="s">
        <v>99</v>
      </c>
      <c r="F131" s="45" t="s">
        <v>56</v>
      </c>
      <c r="G131" s="45">
        <v>3</v>
      </c>
      <c r="H131" s="84">
        <v>2699.97</v>
      </c>
      <c r="I131" s="45" t="s">
        <v>87</v>
      </c>
      <c r="J131" s="45" t="s">
        <v>71</v>
      </c>
    </row>
    <row r="132" spans="1:10">
      <c r="A132" s="82">
        <v>123</v>
      </c>
      <c r="B132" s="45" t="s">
        <v>296</v>
      </c>
      <c r="C132" s="83">
        <v>45572</v>
      </c>
      <c r="D132" s="45" t="s">
        <v>268</v>
      </c>
      <c r="E132" s="45" t="s">
        <v>118</v>
      </c>
      <c r="F132" s="45" t="s">
        <v>56</v>
      </c>
      <c r="G132" s="45">
        <v>5</v>
      </c>
      <c r="H132" s="84">
        <v>3499.95</v>
      </c>
      <c r="I132" s="45" t="s">
        <v>100</v>
      </c>
      <c r="J132" s="45" t="s">
        <v>57</v>
      </c>
    </row>
    <row r="133" spans="1:10">
      <c r="A133" s="82">
        <v>124</v>
      </c>
      <c r="B133" s="45" t="s">
        <v>297</v>
      </c>
      <c r="C133" s="83">
        <v>45573</v>
      </c>
      <c r="D133" s="45" t="s">
        <v>245</v>
      </c>
      <c r="E133" s="45" t="s">
        <v>118</v>
      </c>
      <c r="F133" s="45" t="s">
        <v>56</v>
      </c>
      <c r="G133" s="45">
        <v>4</v>
      </c>
      <c r="H133" s="84">
        <v>2799.96</v>
      </c>
      <c r="I133" s="45" t="s">
        <v>58</v>
      </c>
      <c r="J133" s="45" t="s">
        <v>63</v>
      </c>
    </row>
    <row r="134" spans="1:10">
      <c r="A134" s="82">
        <v>125</v>
      </c>
      <c r="B134" s="45" t="s">
        <v>298</v>
      </c>
      <c r="C134" s="83">
        <v>45573</v>
      </c>
      <c r="D134" s="45" t="s">
        <v>265</v>
      </c>
      <c r="E134" s="45" t="s">
        <v>99</v>
      </c>
      <c r="F134" s="45" t="s">
        <v>56</v>
      </c>
      <c r="G134" s="45">
        <v>1</v>
      </c>
      <c r="H134" s="84">
        <v>899.99</v>
      </c>
      <c r="I134" s="45" t="s">
        <v>100</v>
      </c>
      <c r="J134" s="45" t="s">
        <v>63</v>
      </c>
    </row>
    <row r="135" spans="1:10">
      <c r="A135" s="82">
        <v>126</v>
      </c>
      <c r="B135" s="45" t="s">
        <v>299</v>
      </c>
      <c r="C135" s="83">
        <v>45576</v>
      </c>
      <c r="D135" s="45" t="s">
        <v>181</v>
      </c>
      <c r="E135" s="45" t="s">
        <v>90</v>
      </c>
      <c r="F135" s="45" t="s">
        <v>56</v>
      </c>
      <c r="G135" s="45">
        <v>2</v>
      </c>
      <c r="H135" s="84">
        <v>299.98</v>
      </c>
      <c r="I135" s="45" t="s">
        <v>87</v>
      </c>
      <c r="J135" s="45" t="s">
        <v>63</v>
      </c>
    </row>
    <row r="136" spans="1:10">
      <c r="A136" s="82">
        <v>127</v>
      </c>
      <c r="B136" s="45" t="s">
        <v>300</v>
      </c>
      <c r="C136" s="83">
        <v>45579</v>
      </c>
      <c r="D136" s="45" t="s">
        <v>121</v>
      </c>
      <c r="E136" s="45" t="s">
        <v>152</v>
      </c>
      <c r="F136" s="45" t="s">
        <v>56</v>
      </c>
      <c r="G136" s="45">
        <v>3</v>
      </c>
      <c r="H136" s="84">
        <v>269.97000000000003</v>
      </c>
      <c r="I136" s="45" t="s">
        <v>58</v>
      </c>
      <c r="J136" s="45" t="s">
        <v>71</v>
      </c>
    </row>
    <row r="137" spans="1:10">
      <c r="A137" s="82">
        <v>128</v>
      </c>
      <c r="B137" s="45" t="s">
        <v>301</v>
      </c>
      <c r="C137" s="83">
        <v>45581</v>
      </c>
      <c r="D137" s="45" t="s">
        <v>28</v>
      </c>
      <c r="E137" s="45" t="s">
        <v>90</v>
      </c>
      <c r="F137" s="45" t="s">
        <v>56</v>
      </c>
      <c r="G137" s="45">
        <v>2</v>
      </c>
      <c r="H137" s="84">
        <v>299.98</v>
      </c>
      <c r="I137" s="45" t="s">
        <v>58</v>
      </c>
      <c r="J137" s="45" t="s">
        <v>71</v>
      </c>
    </row>
    <row r="138" spans="1:10">
      <c r="A138" s="82">
        <v>129</v>
      </c>
      <c r="B138" s="45" t="s">
        <v>302</v>
      </c>
      <c r="C138" s="83">
        <v>45581</v>
      </c>
      <c r="D138" s="45" t="s">
        <v>205</v>
      </c>
      <c r="E138" s="45" t="s">
        <v>118</v>
      </c>
      <c r="F138" s="45" t="s">
        <v>56</v>
      </c>
      <c r="G138" s="45">
        <v>2</v>
      </c>
      <c r="H138" s="84">
        <v>1399.98</v>
      </c>
      <c r="I138" s="45" t="s">
        <v>58</v>
      </c>
      <c r="J138" s="45" t="s">
        <v>57</v>
      </c>
    </row>
    <row r="139" spans="1:10">
      <c r="A139" s="82">
        <v>130</v>
      </c>
      <c r="B139" s="45" t="s">
        <v>303</v>
      </c>
      <c r="C139" s="83">
        <v>45581</v>
      </c>
      <c r="D139" s="45" t="s">
        <v>184</v>
      </c>
      <c r="E139" s="45" t="s">
        <v>118</v>
      </c>
      <c r="F139" s="45" t="s">
        <v>56</v>
      </c>
      <c r="G139" s="45">
        <v>5</v>
      </c>
      <c r="H139" s="84">
        <v>3499.95</v>
      </c>
      <c r="I139" s="45" t="s">
        <v>77</v>
      </c>
      <c r="J139" s="45" t="s">
        <v>57</v>
      </c>
    </row>
    <row r="140" spans="1:10">
      <c r="A140" s="82">
        <v>131</v>
      </c>
      <c r="B140" s="45" t="s">
        <v>304</v>
      </c>
      <c r="C140" s="83">
        <v>45583</v>
      </c>
      <c r="D140" s="45" t="s">
        <v>260</v>
      </c>
      <c r="E140" s="45" t="s">
        <v>152</v>
      </c>
      <c r="F140" s="45" t="s">
        <v>56</v>
      </c>
      <c r="G140" s="45">
        <v>3</v>
      </c>
      <c r="H140" s="84">
        <v>269.97000000000003</v>
      </c>
      <c r="I140" s="45" t="s">
        <v>77</v>
      </c>
      <c r="J140" s="45" t="s">
        <v>63</v>
      </c>
    </row>
    <row r="141" spans="1:10">
      <c r="A141" s="82">
        <v>132</v>
      </c>
      <c r="B141" s="45" t="s">
        <v>305</v>
      </c>
      <c r="C141" s="83">
        <v>45586</v>
      </c>
      <c r="D141" s="45" t="s">
        <v>260</v>
      </c>
      <c r="E141" s="45" t="s">
        <v>55</v>
      </c>
      <c r="F141" s="45" t="s">
        <v>56</v>
      </c>
      <c r="G141" s="45">
        <v>5</v>
      </c>
      <c r="H141" s="84">
        <v>1249.95</v>
      </c>
      <c r="I141" s="45" t="s">
        <v>72</v>
      </c>
      <c r="J141" s="45" t="s">
        <v>63</v>
      </c>
    </row>
    <row r="142" spans="1:10">
      <c r="A142" s="82">
        <v>133</v>
      </c>
      <c r="B142" s="45" t="s">
        <v>306</v>
      </c>
      <c r="C142" s="83">
        <v>45588</v>
      </c>
      <c r="D142" s="45" t="s">
        <v>76</v>
      </c>
      <c r="E142" s="45" t="s">
        <v>140</v>
      </c>
      <c r="F142" s="45" t="s">
        <v>83</v>
      </c>
      <c r="G142" s="45">
        <v>3</v>
      </c>
      <c r="H142" s="84">
        <v>899.97</v>
      </c>
      <c r="I142" s="45" t="s">
        <v>72</v>
      </c>
      <c r="J142" s="45" t="s">
        <v>63</v>
      </c>
    </row>
    <row r="143" spans="1:10">
      <c r="A143" s="82">
        <v>134</v>
      </c>
      <c r="B143" s="45" t="s">
        <v>307</v>
      </c>
      <c r="C143" s="83">
        <v>45588</v>
      </c>
      <c r="D143" s="45" t="s">
        <v>188</v>
      </c>
      <c r="E143" s="45" t="s">
        <v>152</v>
      </c>
      <c r="F143" s="45" t="s">
        <v>56</v>
      </c>
      <c r="G143" s="45">
        <v>3</v>
      </c>
      <c r="H143" s="84">
        <v>269.97000000000003</v>
      </c>
      <c r="I143" s="45" t="s">
        <v>77</v>
      </c>
      <c r="J143" s="45" t="s">
        <v>63</v>
      </c>
    </row>
    <row r="144" spans="1:10">
      <c r="A144" s="82">
        <v>135</v>
      </c>
      <c r="B144" s="45" t="s">
        <v>308</v>
      </c>
      <c r="C144" s="83">
        <v>45589</v>
      </c>
      <c r="D144" s="45" t="s">
        <v>192</v>
      </c>
      <c r="E144" s="45" t="s">
        <v>82</v>
      </c>
      <c r="F144" s="45" t="s">
        <v>83</v>
      </c>
      <c r="G144" s="45">
        <v>2</v>
      </c>
      <c r="H144" s="84">
        <v>299.98</v>
      </c>
      <c r="I144" s="45" t="s">
        <v>87</v>
      </c>
      <c r="J144" s="45" t="s">
        <v>63</v>
      </c>
    </row>
    <row r="145" spans="1:10">
      <c r="A145" s="82">
        <v>136</v>
      </c>
      <c r="B145" s="45" t="s">
        <v>309</v>
      </c>
      <c r="C145" s="83">
        <v>45592</v>
      </c>
      <c r="D145" s="45" t="s">
        <v>205</v>
      </c>
      <c r="E145" s="45" t="s">
        <v>55</v>
      </c>
      <c r="F145" s="45" t="s">
        <v>56</v>
      </c>
      <c r="G145" s="45">
        <v>1</v>
      </c>
      <c r="H145" s="84">
        <v>249.99</v>
      </c>
      <c r="I145" s="45" t="s">
        <v>77</v>
      </c>
      <c r="J145" s="45" t="s">
        <v>63</v>
      </c>
    </row>
    <row r="146" spans="1:10">
      <c r="A146" s="82">
        <v>137</v>
      </c>
      <c r="B146" s="45" t="s">
        <v>310</v>
      </c>
      <c r="C146" s="83">
        <v>45597</v>
      </c>
      <c r="D146" s="45" t="s">
        <v>32</v>
      </c>
      <c r="E146" s="45" t="s">
        <v>90</v>
      </c>
      <c r="F146" s="45" t="s">
        <v>56</v>
      </c>
      <c r="G146" s="45">
        <v>3</v>
      </c>
      <c r="H146" s="84">
        <v>449.97</v>
      </c>
      <c r="I146" s="45" t="s">
        <v>77</v>
      </c>
      <c r="J146" s="45" t="s">
        <v>57</v>
      </c>
    </row>
    <row r="147" spans="1:10">
      <c r="A147" s="82">
        <v>138</v>
      </c>
      <c r="B147" s="45" t="s">
        <v>311</v>
      </c>
      <c r="C147" s="83">
        <v>45600</v>
      </c>
      <c r="D147" s="45" t="s">
        <v>103</v>
      </c>
      <c r="E147" s="45" t="s">
        <v>69</v>
      </c>
      <c r="F147" s="45" t="s">
        <v>70</v>
      </c>
      <c r="G147" s="45">
        <v>5</v>
      </c>
      <c r="H147" s="84">
        <v>299.95</v>
      </c>
      <c r="I147" s="45" t="s">
        <v>87</v>
      </c>
      <c r="J147" s="45" t="s">
        <v>71</v>
      </c>
    </row>
    <row r="148" spans="1:10">
      <c r="A148" s="82">
        <v>139</v>
      </c>
      <c r="B148" s="45" t="s">
        <v>312</v>
      </c>
      <c r="C148" s="83">
        <v>45603</v>
      </c>
      <c r="D148" s="45" t="s">
        <v>30</v>
      </c>
      <c r="E148" s="45" t="s">
        <v>55</v>
      </c>
      <c r="F148" s="45" t="s">
        <v>56</v>
      </c>
      <c r="G148" s="45">
        <v>4</v>
      </c>
      <c r="H148" s="84">
        <v>999.96</v>
      </c>
      <c r="I148" s="45" t="s">
        <v>87</v>
      </c>
      <c r="J148" s="45" t="s">
        <v>63</v>
      </c>
    </row>
    <row r="149" spans="1:10">
      <c r="A149" s="82">
        <v>140</v>
      </c>
      <c r="B149" s="45" t="s">
        <v>313</v>
      </c>
      <c r="C149" s="83">
        <v>45604</v>
      </c>
      <c r="D149" s="45" t="s">
        <v>126</v>
      </c>
      <c r="E149" s="45" t="s">
        <v>82</v>
      </c>
      <c r="F149" s="45" t="s">
        <v>83</v>
      </c>
      <c r="G149" s="45">
        <v>5</v>
      </c>
      <c r="H149" s="84">
        <v>749.95</v>
      </c>
      <c r="I149" s="45" t="s">
        <v>58</v>
      </c>
      <c r="J149" s="45" t="s">
        <v>71</v>
      </c>
    </row>
    <row r="150" spans="1:10">
      <c r="A150" s="82">
        <v>141</v>
      </c>
      <c r="B150" s="45" t="s">
        <v>314</v>
      </c>
      <c r="C150" s="83">
        <v>45605</v>
      </c>
      <c r="D150" s="45" t="s">
        <v>219</v>
      </c>
      <c r="E150" s="45" t="s">
        <v>69</v>
      </c>
      <c r="F150" s="45" t="s">
        <v>70</v>
      </c>
      <c r="G150" s="45">
        <v>3</v>
      </c>
      <c r="H150" s="84">
        <v>179.97</v>
      </c>
      <c r="I150" s="45" t="s">
        <v>72</v>
      </c>
      <c r="J150" s="45" t="s">
        <v>94</v>
      </c>
    </row>
    <row r="151" spans="1:10">
      <c r="A151" s="82">
        <v>142</v>
      </c>
      <c r="B151" s="45" t="s">
        <v>315</v>
      </c>
      <c r="C151" s="83">
        <v>45607</v>
      </c>
      <c r="D151" s="45" t="s">
        <v>110</v>
      </c>
      <c r="E151" s="45" t="s">
        <v>82</v>
      </c>
      <c r="F151" s="45" t="s">
        <v>83</v>
      </c>
      <c r="G151" s="45">
        <v>5</v>
      </c>
      <c r="H151" s="84">
        <v>749.95</v>
      </c>
      <c r="I151" s="45" t="s">
        <v>77</v>
      </c>
      <c r="J151" s="45" t="s">
        <v>57</v>
      </c>
    </row>
    <row r="152" spans="1:10">
      <c r="A152" s="82">
        <v>143</v>
      </c>
      <c r="B152" s="45" t="s">
        <v>316</v>
      </c>
      <c r="C152" s="83">
        <v>45607</v>
      </c>
      <c r="D152" s="45" t="s">
        <v>32</v>
      </c>
      <c r="E152" s="45" t="s">
        <v>118</v>
      </c>
      <c r="F152" s="45" t="s">
        <v>56</v>
      </c>
      <c r="G152" s="45">
        <v>2</v>
      </c>
      <c r="H152" s="84">
        <v>1399.98</v>
      </c>
      <c r="I152" s="45" t="s">
        <v>87</v>
      </c>
      <c r="J152" s="45" t="s">
        <v>71</v>
      </c>
    </row>
    <row r="153" spans="1:10">
      <c r="A153" s="82">
        <v>144</v>
      </c>
      <c r="B153" s="45" t="s">
        <v>317</v>
      </c>
      <c r="C153" s="83">
        <v>45607</v>
      </c>
      <c r="D153" s="45" t="s">
        <v>30</v>
      </c>
      <c r="E153" s="45" t="s">
        <v>160</v>
      </c>
      <c r="F153" s="45" t="s">
        <v>83</v>
      </c>
      <c r="G153" s="45">
        <v>4</v>
      </c>
      <c r="H153" s="84">
        <v>799.96</v>
      </c>
      <c r="I153" s="45" t="s">
        <v>58</v>
      </c>
      <c r="J153" s="45" t="s">
        <v>94</v>
      </c>
    </row>
    <row r="154" spans="1:10">
      <c r="A154" s="82">
        <v>145</v>
      </c>
      <c r="B154" s="45" t="s">
        <v>318</v>
      </c>
      <c r="C154" s="83">
        <v>45608</v>
      </c>
      <c r="D154" s="45" t="s">
        <v>188</v>
      </c>
      <c r="E154" s="45" t="s">
        <v>69</v>
      </c>
      <c r="F154" s="45" t="s">
        <v>70</v>
      </c>
      <c r="G154" s="45">
        <v>1</v>
      </c>
      <c r="H154" s="84">
        <v>59.99</v>
      </c>
      <c r="I154" s="45" t="s">
        <v>87</v>
      </c>
      <c r="J154" s="45" t="s">
        <v>94</v>
      </c>
    </row>
    <row r="155" spans="1:10">
      <c r="A155" s="82">
        <v>146</v>
      </c>
      <c r="B155" s="45" t="s">
        <v>319</v>
      </c>
      <c r="C155" s="83">
        <v>45608</v>
      </c>
      <c r="D155" s="45" t="s">
        <v>121</v>
      </c>
    </row>
    <row r="156" spans="1:10">
      <c r="A156" s="82">
        <v>147</v>
      </c>
      <c r="B156" s="45" t="s">
        <v>320</v>
      </c>
      <c r="C156" s="83">
        <v>45613</v>
      </c>
      <c r="D156" s="45" t="s">
        <v>268</v>
      </c>
    </row>
    <row r="157" spans="1:10">
      <c r="A157" s="82">
        <v>148</v>
      </c>
      <c r="B157" s="45" t="s">
        <v>321</v>
      </c>
      <c r="C157" s="83">
        <v>45613</v>
      </c>
      <c r="D157" s="45" t="s">
        <v>24</v>
      </c>
    </row>
    <row r="158" spans="1:10">
      <c r="A158" s="82">
        <v>149</v>
      </c>
      <c r="B158" s="45" t="s">
        <v>322</v>
      </c>
      <c r="C158" s="83">
        <v>45617</v>
      </c>
      <c r="D158" s="45" t="s">
        <v>26</v>
      </c>
    </row>
    <row r="159" spans="1:10">
      <c r="A159" s="82">
        <v>150</v>
      </c>
      <c r="B159" s="45" t="s">
        <v>323</v>
      </c>
      <c r="C159" s="83">
        <v>45619</v>
      </c>
      <c r="D159" s="45" t="s">
        <v>226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5938-7367-48FD-9C45-F7C2905BFBE7}">
  <dimension ref="A1:F56"/>
  <sheetViews>
    <sheetView workbookViewId="0">
      <selection activeCell="F18" sqref="F18"/>
    </sheetView>
  </sheetViews>
  <sheetFormatPr defaultRowHeight="14.4"/>
  <cols>
    <col min="2" max="2" width="37.77734375" customWidth="1"/>
    <col min="3" max="3" width="22.109375" customWidth="1"/>
  </cols>
  <sheetData>
    <row r="1" spans="1:6" s="1" customFormat="1" ht="21">
      <c r="A1" s="51" t="s">
        <v>508</v>
      </c>
      <c r="B1" s="51"/>
      <c r="C1" s="51"/>
      <c r="D1" s="51"/>
      <c r="E1" s="51"/>
      <c r="F1" s="51"/>
    </row>
    <row r="2" spans="1:6" s="1" customFormat="1">
      <c r="A2" s="52" t="s">
        <v>509</v>
      </c>
      <c r="B2" s="52"/>
      <c r="C2" s="52"/>
      <c r="D2" s="52"/>
      <c r="E2" s="52"/>
      <c r="F2" s="52"/>
    </row>
    <row r="3" spans="1:6" s="1" customFormat="1"/>
    <row r="4" spans="1:6" s="1" customFormat="1">
      <c r="B4" s="20" t="s">
        <v>510</v>
      </c>
      <c r="C4" s="21"/>
    </row>
    <row r="5" spans="1:6" s="1" customFormat="1">
      <c r="B5" s="55" t="s">
        <v>511</v>
      </c>
      <c r="C5" s="85">
        <f ca="1">TODAY()</f>
        <v>46324</v>
      </c>
    </row>
    <row r="6" spans="1:6" s="1" customFormat="1">
      <c r="B6" s="55" t="s">
        <v>512</v>
      </c>
      <c r="C6" s="86">
        <f ca="1">NOW()</f>
        <v>46324.432371643517</v>
      </c>
    </row>
    <row r="7" spans="1:6" s="1" customFormat="1">
      <c r="B7" s="55" t="s">
        <v>513</v>
      </c>
      <c r="C7" s="76" t="str">
        <f ca="1">TEXT(TODAY(),"dddd")</f>
        <v>Thursday</v>
      </c>
    </row>
    <row r="8" spans="1:6" s="1" customFormat="1"/>
    <row r="9" spans="1:6" s="1" customFormat="1">
      <c r="B9" s="22" t="s">
        <v>514</v>
      </c>
      <c r="C9" s="23"/>
    </row>
    <row r="10" spans="1:6" s="1" customFormat="1">
      <c r="B10" s="55" t="s">
        <v>515</v>
      </c>
      <c r="C10" s="85">
        <v>45393</v>
      </c>
    </row>
    <row r="11" spans="1:6" s="1" customFormat="1">
      <c r="B11" s="55" t="s">
        <v>516</v>
      </c>
      <c r="C11" s="85">
        <v>45758</v>
      </c>
    </row>
    <row r="12" spans="1:6" s="1" customFormat="1">
      <c r="B12" s="55" t="s">
        <v>517</v>
      </c>
      <c r="C12" s="74">
        <f>DATEDIF(C10,C11,"d")</f>
        <v>365</v>
      </c>
    </row>
    <row r="13" spans="1:6" s="1" customFormat="1">
      <c r="B13" s="55" t="s">
        <v>518</v>
      </c>
      <c r="C13" s="74">
        <f>DATEDIF(C10,C11,"m")</f>
        <v>12</v>
      </c>
    </row>
    <row r="14" spans="1:6" s="1" customFormat="1" ht="39.6">
      <c r="B14" s="55" t="s">
        <v>519</v>
      </c>
      <c r="C14" s="76" t="str">
        <f>DATEDIF(C10,C11,"y")&amp;" yr "&amp;DATEDIF(C10,C11,"ym")&amp;" mth "&amp;DATEDIF(C10,C11,"md")&amp;" days"</f>
        <v>1 yr 0 mth 0 days</v>
      </c>
    </row>
    <row r="15" spans="1:6" s="1" customFormat="1">
      <c r="B15" s="55" t="s">
        <v>520</v>
      </c>
      <c r="C15" s="87">
        <f ca="1">TODAY()-C11</f>
        <v>566</v>
      </c>
    </row>
    <row r="16" spans="1:6" s="1" customFormat="1">
      <c r="B16" s="55" t="s">
        <v>521</v>
      </c>
      <c r="C16" s="74">
        <f ca="1">DATEDIF(C11,TODAY(),"m")</f>
        <v>18</v>
      </c>
    </row>
    <row r="17" spans="2:5" s="1" customFormat="1"/>
    <row r="18" spans="2:5" s="1" customFormat="1">
      <c r="B18" s="41" t="s">
        <v>522</v>
      </c>
      <c r="C18" s="42"/>
    </row>
    <row r="19" spans="2:5" s="1" customFormat="1">
      <c r="B19" s="55" t="s">
        <v>523</v>
      </c>
      <c r="C19" s="85">
        <f>EOMONTH(C11,0)</f>
        <v>45777</v>
      </c>
    </row>
    <row r="20" spans="2:5" s="1" customFormat="1">
      <c r="B20" s="55" t="s">
        <v>524</v>
      </c>
      <c r="C20" s="85">
        <f>EOMONTH(C11,-1)</f>
        <v>45747</v>
      </c>
    </row>
    <row r="21" spans="2:5" s="1" customFormat="1">
      <c r="B21" s="55" t="s">
        <v>525</v>
      </c>
      <c r="C21" s="85">
        <f>EOMONTH(C11,1)</f>
        <v>45808</v>
      </c>
    </row>
    <row r="22" spans="2:5" s="1" customFormat="1">
      <c r="B22" s="55" t="s">
        <v>526</v>
      </c>
      <c r="C22" s="85">
        <f>EOMONTH(C11,MOD(3-MONTH(C11),3))</f>
        <v>45838</v>
      </c>
    </row>
    <row r="23" spans="2:5" s="1" customFormat="1">
      <c r="B23" s="55" t="s">
        <v>527</v>
      </c>
      <c r="C23" s="74">
        <f ca="1">EOMONTH(TODAY(),0)-TODAY()</f>
        <v>2</v>
      </c>
    </row>
    <row r="24" spans="2:5" s="1" customFormat="1"/>
    <row r="25" spans="2:5" s="1" customFormat="1"/>
    <row r="26" spans="2:5" s="1" customFormat="1">
      <c r="B26" s="67" t="s">
        <v>528</v>
      </c>
      <c r="C26" s="68"/>
      <c r="D26" s="68"/>
      <c r="E26" s="68"/>
    </row>
    <row r="27" spans="2:5" s="1" customFormat="1" ht="39.6">
      <c r="B27" s="43" t="s">
        <v>22</v>
      </c>
      <c r="C27" s="43" t="s">
        <v>529</v>
      </c>
      <c r="D27" s="43" t="s">
        <v>530</v>
      </c>
      <c r="E27" s="43" t="s">
        <v>531</v>
      </c>
    </row>
    <row r="28" spans="2:5" s="1" customFormat="1" ht="26.4">
      <c r="B28" s="55" t="s">
        <v>420</v>
      </c>
      <c r="C28" s="85">
        <v>44560</v>
      </c>
      <c r="D28" s="74">
        <f ca="1">DATEDIF(C28,TODAY(),"y")</f>
        <v>4</v>
      </c>
      <c r="E28" s="76" t="str">
        <f ca="1">DATEDIF(C28,TODAY(),"y")&amp;" yr "&amp;DATEDIF(C28,TODAY(),"ym")&amp;" mth"</f>
        <v>4 yr 9 mth</v>
      </c>
    </row>
    <row r="29" spans="2:5" s="1" customFormat="1" ht="26.4">
      <c r="B29" s="55" t="s">
        <v>166</v>
      </c>
      <c r="C29" s="85">
        <v>44748</v>
      </c>
      <c r="D29" s="74">
        <f ca="1">DATEDIF(C29,TODAY(),"y")</f>
        <v>4</v>
      </c>
      <c r="E29" s="76" t="str">
        <f ca="1">DATEDIF(C29,TODAY(),"y")&amp;" yr "&amp;DATEDIF(C29,TODAY(),"ym")&amp;" mth"</f>
        <v>4 yr 3 mth</v>
      </c>
    </row>
    <row r="30" spans="2:5" s="1" customFormat="1" ht="26.4">
      <c r="B30" s="55" t="s">
        <v>80</v>
      </c>
      <c r="C30" s="85">
        <v>44422</v>
      </c>
      <c r="D30" s="74">
        <f ca="1">DATEDIF(C30,TODAY(),"y")</f>
        <v>5</v>
      </c>
      <c r="E30" s="76" t="str">
        <f ca="1">DATEDIF(C30,TODAY(),"y")&amp;" yr "&amp;DATEDIF(C30,TODAY(),"ym")&amp;" mth"</f>
        <v>5 yr 2 mth</v>
      </c>
    </row>
    <row r="31" spans="2:5" s="1" customFormat="1" ht="26.4">
      <c r="B31" s="55" t="s">
        <v>188</v>
      </c>
      <c r="C31" s="85">
        <v>44458</v>
      </c>
      <c r="D31" s="74">
        <f ca="1">DATEDIF(C31,TODAY(),"y")</f>
        <v>5</v>
      </c>
      <c r="E31" s="76" t="str">
        <f ca="1">DATEDIF(C31,TODAY(),"y")&amp;" yr "&amp;DATEDIF(C31,TODAY(),"ym")&amp;" mth"</f>
        <v>5 yr 1 mth</v>
      </c>
    </row>
    <row r="32" spans="2:5" s="1" customFormat="1" ht="26.4">
      <c r="B32" s="55" t="s">
        <v>338</v>
      </c>
      <c r="C32" s="85">
        <v>45052</v>
      </c>
      <c r="D32" s="74">
        <f ca="1">DATEDIF(C32,TODAY(),"y")</f>
        <v>3</v>
      </c>
      <c r="E32" s="76" t="str">
        <f ca="1">DATEDIF(C32,TODAY(),"y")&amp;" yr "&amp;DATEDIF(C32,TODAY(),"ym")&amp;" mth"</f>
        <v>3 yr 5 mth</v>
      </c>
    </row>
    <row r="33" spans="2:5" s="1" customFormat="1" ht="26.4">
      <c r="B33" s="55" t="s">
        <v>163</v>
      </c>
      <c r="C33" s="85">
        <v>44579</v>
      </c>
      <c r="D33" s="74">
        <f ca="1">DATEDIF(C33,TODAY(),"y")</f>
        <v>4</v>
      </c>
      <c r="E33" s="76" t="str">
        <f ca="1">DATEDIF(C33,TODAY(),"y")&amp;" yr "&amp;DATEDIF(C33,TODAY(),"ym")&amp;" mth"</f>
        <v>4 yr 9 mth</v>
      </c>
    </row>
    <row r="34" spans="2:5" s="1" customFormat="1" ht="26.4">
      <c r="B34" s="55" t="s">
        <v>216</v>
      </c>
      <c r="C34" s="85">
        <v>44522</v>
      </c>
      <c r="D34" s="74">
        <f ca="1">DATEDIF(C34,TODAY(),"y")</f>
        <v>4</v>
      </c>
      <c r="E34" s="76" t="str">
        <f ca="1">DATEDIF(C34,TODAY(),"y")&amp;" yr "&amp;DATEDIF(C34,TODAY(),"ym")&amp;" mth"</f>
        <v>4 yr 11 mth</v>
      </c>
    </row>
    <row r="35" spans="2:5" s="1" customFormat="1" ht="26.4">
      <c r="B35" s="55" t="s">
        <v>175</v>
      </c>
      <c r="C35" s="85">
        <v>44407</v>
      </c>
      <c r="D35" s="74">
        <f ca="1">DATEDIF(C35,TODAY(),"y")</f>
        <v>5</v>
      </c>
      <c r="E35" s="76" t="str">
        <f ca="1">DATEDIF(C35,TODAY(),"y")&amp;" yr "&amp;DATEDIF(C35,TODAY(),"ym")&amp;" mth"</f>
        <v>5 yr 2 mth</v>
      </c>
    </row>
    <row r="36" spans="2:5" s="1" customFormat="1" ht="26.4">
      <c r="B36" s="55" t="s">
        <v>97</v>
      </c>
      <c r="C36" s="85">
        <v>44395</v>
      </c>
      <c r="D36" s="74">
        <f ca="1">DATEDIF(C36,TODAY(),"y")</f>
        <v>5</v>
      </c>
      <c r="E36" s="76" t="str">
        <f ca="1">DATEDIF(C36,TODAY(),"y")&amp;" yr "&amp;DATEDIF(C36,TODAY(),"ym")&amp;" mth"</f>
        <v>5 yr 3 mth</v>
      </c>
    </row>
    <row r="37" spans="2:5" s="1" customFormat="1" ht="26.4">
      <c r="B37" s="55" t="s">
        <v>126</v>
      </c>
      <c r="C37" s="85">
        <v>44579</v>
      </c>
      <c r="D37" s="74">
        <f ca="1">DATEDIF(C37,TODAY(),"y")</f>
        <v>4</v>
      </c>
      <c r="E37" s="76" t="str">
        <f ca="1">DATEDIF(C37,TODAY(),"y")&amp;" yr "&amp;DATEDIF(C37,TODAY(),"ym")&amp;" mth"</f>
        <v>4 yr 9 mth</v>
      </c>
    </row>
    <row r="38" spans="2:5" s="1" customFormat="1"/>
    <row r="39" spans="2:5" s="1" customFormat="1"/>
    <row r="40" spans="2:5" s="1" customFormat="1">
      <c r="B40" s="69" t="s">
        <v>532</v>
      </c>
      <c r="C40" s="70"/>
      <c r="D40" s="70"/>
    </row>
    <row r="41" spans="2:5" s="1" customFormat="1" ht="61.8" customHeight="1">
      <c r="B41" s="88" t="s">
        <v>533</v>
      </c>
    </row>
    <row r="42" spans="2:5" s="1" customFormat="1" ht="52.8">
      <c r="B42" s="43" t="s">
        <v>534</v>
      </c>
      <c r="C42" s="43" t="s">
        <v>535</v>
      </c>
      <c r="D42" s="43" t="s">
        <v>536</v>
      </c>
    </row>
    <row r="43" spans="2:5" s="1" customFormat="1" ht="26.4">
      <c r="B43" s="4" t="s">
        <v>537</v>
      </c>
      <c r="C43" s="86">
        <f ca="1">IF(B43="","",IF(N(C43)&gt;0,C43,NOW()))</f>
        <v>46324.393194444441</v>
      </c>
      <c r="D43" s="89" t="s">
        <v>538</v>
      </c>
    </row>
    <row r="44" spans="2:5" s="1" customFormat="1" ht="26.4">
      <c r="B44" s="4" t="s">
        <v>539</v>
      </c>
      <c r="C44" s="86">
        <f ca="1">IF(B44="","",IF(N(C44)&gt;0,C44,NOW()))</f>
        <v>46324.393194444441</v>
      </c>
    </row>
    <row r="45" spans="2:5" s="1" customFormat="1" ht="26.4">
      <c r="B45" s="4" t="s">
        <v>540</v>
      </c>
      <c r="C45" s="86">
        <f ca="1">IF(B45="","",IF(N(C45)&gt;0,C45,NOW()))</f>
        <v>46324.393194444441</v>
      </c>
    </row>
    <row r="46" spans="2:5" s="1" customFormat="1">
      <c r="B46" s="4"/>
      <c r="C46" s="86" t="str">
        <f ca="1">IF(B46="","",IF(N(C46)&gt;0,C46,NOW()))</f>
        <v/>
      </c>
    </row>
    <row r="47" spans="2:5" s="1" customFormat="1">
      <c r="B47" s="4"/>
      <c r="C47" s="86" t="str">
        <f ca="1">IF(B47="","",IF(N(C47)&gt;0,C47,NOW()))</f>
        <v/>
      </c>
    </row>
    <row r="48" spans="2:5" s="1" customFormat="1">
      <c r="B48" s="4"/>
      <c r="C48" s="86" t="str">
        <f ca="1">IF(B48="","",IF(N(C48)&gt;0,C48,NOW()))</f>
        <v/>
      </c>
    </row>
    <row r="49" spans="2:3" s="1" customFormat="1">
      <c r="B49" s="4"/>
      <c r="C49" s="86" t="str">
        <f ca="1">IF(B49="","",IF(N(C49)&gt;0,C49,NOW()))</f>
        <v/>
      </c>
    </row>
    <row r="50" spans="2:3" s="1" customFormat="1">
      <c r="B50" s="4"/>
      <c r="C50" s="86" t="str">
        <f ca="1">IF(B50="","",IF(N(C50)&gt;0,C50,NOW()))</f>
        <v/>
      </c>
    </row>
    <row r="51" spans="2:3" s="1" customFormat="1">
      <c r="B51" s="4"/>
      <c r="C51" s="86" t="str">
        <f ca="1">IF(B51="","",IF(N(C51)&gt;0,C51,NOW()))</f>
        <v/>
      </c>
    </row>
    <row r="52" spans="2:3" s="1" customFormat="1">
      <c r="B52" s="4"/>
      <c r="C52" s="86" t="str">
        <f ca="1">IF(B52="","",IF(N(C52)&gt;0,C52,NOW()))</f>
        <v/>
      </c>
    </row>
    <row r="53" spans="2:3" s="1" customFormat="1">
      <c r="B53" s="4"/>
      <c r="C53" s="86" t="str">
        <f ca="1">IF(B53="","",IF(N(C53)&gt;0,C53,NOW()))</f>
        <v/>
      </c>
    </row>
    <row r="54" spans="2:3" s="1" customFormat="1">
      <c r="B54" s="4"/>
      <c r="C54" s="86" t="str">
        <f ca="1">IF(B54="","",IF(N(C54)&gt;0,C54,NOW()))</f>
        <v/>
      </c>
    </row>
    <row r="55" spans="2:3" s="1" customFormat="1"/>
    <row r="56" spans="2:3" s="1" customFormat="1"/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540D-156B-47E3-9415-678F19AE2805}">
  <dimension ref="A1:I49"/>
  <sheetViews>
    <sheetView workbookViewId="0">
      <selection activeCell="H16" sqref="H16"/>
    </sheetView>
  </sheetViews>
  <sheetFormatPr defaultRowHeight="14.4"/>
  <cols>
    <col min="2" max="2" width="31.33203125" customWidth="1"/>
  </cols>
  <sheetData>
    <row r="1" spans="1:9" s="1" customFormat="1" ht="21">
      <c r="A1" s="51" t="s">
        <v>541</v>
      </c>
      <c r="B1" s="51"/>
      <c r="C1" s="51"/>
      <c r="D1" s="51"/>
      <c r="E1" s="51"/>
      <c r="F1" s="51"/>
      <c r="G1" s="51"/>
      <c r="H1" s="51"/>
      <c r="I1" s="51"/>
    </row>
    <row r="2" spans="1:9" s="1" customFormat="1">
      <c r="A2" s="52" t="s">
        <v>542</v>
      </c>
      <c r="B2" s="52"/>
      <c r="C2" s="52"/>
      <c r="D2" s="52"/>
      <c r="E2" s="52"/>
      <c r="F2" s="52"/>
      <c r="G2" s="52"/>
      <c r="H2" s="52"/>
      <c r="I2" s="52"/>
    </row>
    <row r="3" spans="1:9" s="1" customFormat="1"/>
    <row r="4" spans="1:9" s="1" customFormat="1">
      <c r="B4" s="67" t="s">
        <v>543</v>
      </c>
      <c r="C4" s="68"/>
      <c r="D4" s="68"/>
      <c r="E4" s="68"/>
      <c r="F4" s="68"/>
    </row>
    <row r="5" spans="1:9" s="1" customFormat="1" ht="26.4">
      <c r="B5" s="43" t="s">
        <v>544</v>
      </c>
      <c r="C5" s="43" t="s">
        <v>545</v>
      </c>
      <c r="D5" s="43" t="s">
        <v>546</v>
      </c>
      <c r="E5" s="43" t="s">
        <v>547</v>
      </c>
      <c r="F5" s="43" t="s">
        <v>548</v>
      </c>
    </row>
    <row r="6" spans="1:9" s="1" customFormat="1">
      <c r="B6" s="55" t="s">
        <v>549</v>
      </c>
      <c r="C6" s="90">
        <v>0</v>
      </c>
      <c r="D6" s="90">
        <v>0.05</v>
      </c>
      <c r="E6" s="90">
        <v>-0.03</v>
      </c>
      <c r="F6" s="91">
        <f>_xlfn.SINGLE(INDEX(C6:E6,MATCH($C$10,$C$5:$E$5,0)))</f>
        <v>0.05</v>
      </c>
    </row>
    <row r="7" spans="1:9" s="1" customFormat="1">
      <c r="B7" s="55" t="s">
        <v>550</v>
      </c>
      <c r="C7" s="90">
        <v>0</v>
      </c>
      <c r="D7" s="90">
        <v>0.15</v>
      </c>
      <c r="E7" s="90">
        <v>-0.12</v>
      </c>
      <c r="F7" s="91">
        <f>_xlfn.SINGLE(INDEX(C7:E7,MATCH($C$10,$C$5:$E$5,0)))</f>
        <v>0.15</v>
      </c>
    </row>
    <row r="8" spans="1:9" s="1" customFormat="1">
      <c r="B8" s="55" t="s">
        <v>551</v>
      </c>
      <c r="C8" s="90">
        <v>0</v>
      </c>
      <c r="D8" s="90">
        <v>0</v>
      </c>
      <c r="E8" s="90">
        <v>0.05</v>
      </c>
      <c r="F8" s="91">
        <f>_xlfn.SINGLE(INDEX(C8:E8,MATCH($C$10,$C$5:$E$5,0)))</f>
        <v>0</v>
      </c>
    </row>
    <row r="9" spans="1:9" s="1" customFormat="1"/>
    <row r="10" spans="1:9" s="1" customFormat="1" ht="26.4">
      <c r="B10" s="53" t="s">
        <v>552</v>
      </c>
      <c r="C10" s="4" t="s">
        <v>546</v>
      </c>
    </row>
    <row r="11" spans="1:9" s="1" customFormat="1"/>
    <row r="12" spans="1:9" s="1" customFormat="1" ht="52.8">
      <c r="B12" s="43" t="s">
        <v>39</v>
      </c>
      <c r="C12" s="43" t="s">
        <v>553</v>
      </c>
      <c r="D12" s="43" t="s">
        <v>554</v>
      </c>
      <c r="E12" s="43" t="s">
        <v>555</v>
      </c>
      <c r="F12" s="43" t="s">
        <v>556</v>
      </c>
    </row>
    <row r="13" spans="1:9" s="1" customFormat="1">
      <c r="B13" s="55" t="s">
        <v>56</v>
      </c>
      <c r="C13" s="92">
        <v>171756.05</v>
      </c>
      <c r="D13" s="61">
        <f>C13*(1+$F$6)*(1+$F$7)*(1-$F$8)</f>
        <v>207395.430375</v>
      </c>
      <c r="E13" s="93">
        <f>D13-C13</f>
        <v>35639.380375000008</v>
      </c>
      <c r="F13" s="94">
        <f>IFERROR(E13/C13,0)</f>
        <v>0.20750000000000007</v>
      </c>
    </row>
    <row r="14" spans="1:9" s="1" customFormat="1">
      <c r="B14" s="55" t="s">
        <v>83</v>
      </c>
      <c r="C14" s="92">
        <v>49097.68</v>
      </c>
      <c r="D14" s="61">
        <f>C14*(1+$F$6)*(1+$F$7)*(1-$F$8)</f>
        <v>59285.448600000003</v>
      </c>
      <c r="E14" s="93">
        <f>D14-C14</f>
        <v>10187.768600000003</v>
      </c>
      <c r="F14" s="94">
        <f>IFERROR(E14/C14,0)</f>
        <v>0.20750000000000007</v>
      </c>
    </row>
    <row r="15" spans="1:9" s="1" customFormat="1">
      <c r="B15" s="55" t="s">
        <v>70</v>
      </c>
      <c r="C15" s="92">
        <v>8338.74</v>
      </c>
      <c r="D15" s="61">
        <f>C15*(1+$F$6)*(1+$F$7)*(1-$F$8)</f>
        <v>10069.028549999999</v>
      </c>
      <c r="E15" s="93">
        <f>D15-C15</f>
        <v>1730.2885499999993</v>
      </c>
      <c r="F15" s="94">
        <f>IFERROR(E15/C15,0)</f>
        <v>0.20749999999999993</v>
      </c>
    </row>
    <row r="16" spans="1:9" s="1" customFormat="1">
      <c r="B16" s="53" t="s">
        <v>453</v>
      </c>
      <c r="C16" s="64">
        <f>SUM(C13:C15)</f>
        <v>229192.46999999997</v>
      </c>
      <c r="D16" s="64">
        <f>SUM(D13:D15)</f>
        <v>276749.90752499999</v>
      </c>
      <c r="E16" s="95">
        <f>SUM(E13:E15)</f>
        <v>47557.437525000008</v>
      </c>
      <c r="F16" s="96">
        <f>IFERROR(E16/C16,0)</f>
        <v>0.20750000000000007</v>
      </c>
    </row>
    <row r="17" spans="2:8" s="1" customFormat="1"/>
    <row r="18" spans="2:8" s="1" customFormat="1">
      <c r="B18" s="67" t="s">
        <v>557</v>
      </c>
      <c r="C18" s="68"/>
      <c r="D18" s="68"/>
      <c r="E18" s="68"/>
      <c r="F18" s="68"/>
    </row>
    <row r="19" spans="2:8" s="1" customFormat="1" ht="26.4">
      <c r="B19" s="43" t="s">
        <v>558</v>
      </c>
      <c r="C19" s="43" t="s">
        <v>435</v>
      </c>
      <c r="D19" s="43" t="s">
        <v>559</v>
      </c>
      <c r="E19" s="43" t="s">
        <v>560</v>
      </c>
      <c r="F19" s="43" t="s">
        <v>561</v>
      </c>
    </row>
    <row r="20" spans="2:8" s="1" customFormat="1">
      <c r="B20" s="55" t="s">
        <v>545</v>
      </c>
      <c r="C20" s="61">
        <f>$C$16*(1+C$6)*(1+C$7)*(1-C$8)</f>
        <v>229192.46999999997</v>
      </c>
      <c r="D20" s="93">
        <f>C20-$C$20</f>
        <v>0</v>
      </c>
      <c r="E20" s="94">
        <f>IFERROR(D20/$C$20,0)</f>
        <v>0</v>
      </c>
      <c r="F20" s="76" t="str">
        <f>IF(E20&gt;0.001,"Growth",IF(E20&lt;-0.001,"Decline","Flat"))</f>
        <v>Flat</v>
      </c>
    </row>
    <row r="21" spans="2:8" s="1" customFormat="1">
      <c r="B21" s="55" t="s">
        <v>546</v>
      </c>
      <c r="C21" s="61">
        <f>$C$16*(1+D$6)*(1+D$7)*(1-D$8)</f>
        <v>276749.90752499999</v>
      </c>
      <c r="D21" s="93">
        <f>C21-$C$20</f>
        <v>47557.437525000016</v>
      </c>
      <c r="E21" s="94">
        <f>IFERROR(D21/$C$20,0)</f>
        <v>0.2075000000000001</v>
      </c>
      <c r="F21" s="76" t="str">
        <f>IF(E21&gt;0.001,"Growth",IF(E21&lt;-0.001,"Decline","Flat"))</f>
        <v>Growth</v>
      </c>
    </row>
    <row r="22" spans="2:8" s="1" customFormat="1">
      <c r="B22" s="55" t="s">
        <v>547</v>
      </c>
      <c r="C22" s="61">
        <f>$C$16*(1+E$6)*(1+E$7)*(1-E$8)</f>
        <v>185856.75777239996</v>
      </c>
      <c r="D22" s="93">
        <f>C22-$C$20</f>
        <v>-43335.712227600015</v>
      </c>
      <c r="E22" s="94">
        <f>IFERROR(D22/$C$20,0)</f>
        <v>-0.18908000000000008</v>
      </c>
      <c r="F22" s="76" t="str">
        <f>IF(E22&gt;0.001,"Growth",IF(E22&lt;-0.001,"Decline","Flat"))</f>
        <v>Decline</v>
      </c>
    </row>
    <row r="23" spans="2:8" s="1" customFormat="1"/>
    <row r="24" spans="2:8" s="1" customFormat="1"/>
    <row r="25" spans="2:8" s="1" customFormat="1">
      <c r="B25" s="41" t="s">
        <v>562</v>
      </c>
      <c r="C25" s="42"/>
      <c r="D25" s="42"/>
      <c r="E25" s="42"/>
      <c r="F25" s="42"/>
      <c r="G25" s="42"/>
      <c r="H25" s="42"/>
    </row>
    <row r="26" spans="2:8" s="1" customFormat="1" ht="39.6">
      <c r="B26" s="43" t="s">
        <v>563</v>
      </c>
      <c r="C26" s="97">
        <v>-0.1</v>
      </c>
      <c r="D26" s="97">
        <v>-0.05</v>
      </c>
      <c r="E26" s="97">
        <v>0</v>
      </c>
      <c r="F26" s="97">
        <v>0.05</v>
      </c>
      <c r="G26" s="97">
        <v>0.1</v>
      </c>
    </row>
    <row r="27" spans="2:8" s="1" customFormat="1">
      <c r="B27" s="97">
        <v>-0.2</v>
      </c>
      <c r="C27" s="61">
        <f>$C$16*(1+C$26)*(1+$B27)</f>
        <v>165018.5784</v>
      </c>
      <c r="D27" s="61">
        <f>$C$16*(1+D$26)*(1+$B27)</f>
        <v>174186.27719999998</v>
      </c>
      <c r="E27" s="61">
        <f>$C$16*(1+E$26)*(1+$B27)</f>
        <v>183353.976</v>
      </c>
      <c r="F27" s="61">
        <f>$C$16*(1+F$26)*(1+$B27)</f>
        <v>192521.67480000001</v>
      </c>
      <c r="G27" s="61">
        <f>$C$16*(1+G$26)*(1+$B27)</f>
        <v>201689.37359999999</v>
      </c>
    </row>
    <row r="28" spans="2:8" s="1" customFormat="1">
      <c r="B28" s="97">
        <v>-0.1</v>
      </c>
      <c r="C28" s="61">
        <f>$C$16*(1+C$26)*(1+$B28)</f>
        <v>185645.90069999997</v>
      </c>
      <c r="D28" s="61">
        <f>$C$16*(1+D$26)*(1+$B28)</f>
        <v>195959.56184999997</v>
      </c>
      <c r="E28" s="61">
        <f>$C$16*(1+E$26)*(1+$B28)</f>
        <v>206273.22299999997</v>
      </c>
      <c r="F28" s="61">
        <f>$C$16*(1+F$26)*(1+$B28)</f>
        <v>216586.88415</v>
      </c>
      <c r="G28" s="61">
        <f>$C$16*(1+G$26)*(1+$B28)</f>
        <v>226900.54529999997</v>
      </c>
    </row>
    <row r="29" spans="2:8" s="1" customFormat="1">
      <c r="B29" s="97">
        <v>0</v>
      </c>
      <c r="C29" s="61">
        <f>$C$16*(1+C$26)*(1+$B29)</f>
        <v>206273.22299999997</v>
      </c>
      <c r="D29" s="61">
        <f>$C$16*(1+D$26)*(1+$B29)</f>
        <v>217732.84649999996</v>
      </c>
      <c r="E29" s="61">
        <f>$C$16*(1+E$26)*(1+$B29)</f>
        <v>229192.46999999997</v>
      </c>
      <c r="F29" s="61">
        <f>$C$16*(1+F$26)*(1+$B29)</f>
        <v>240652.09349999999</v>
      </c>
      <c r="G29" s="61">
        <f>$C$16*(1+G$26)*(1+$B29)</f>
        <v>252111.71699999998</v>
      </c>
    </row>
    <row r="30" spans="2:8" s="1" customFormat="1">
      <c r="B30" s="97">
        <v>0.1</v>
      </c>
      <c r="C30" s="61">
        <f>$C$16*(1+C$26)*(1+$B30)</f>
        <v>226900.5453</v>
      </c>
      <c r="D30" s="61">
        <f>$C$16*(1+D$26)*(1+$B30)</f>
        <v>239506.13114999997</v>
      </c>
      <c r="E30" s="61">
        <f>$C$16*(1+E$26)*(1+$B30)</f>
        <v>252111.71699999998</v>
      </c>
      <c r="F30" s="61">
        <f>$C$16*(1+F$26)*(1+$B30)</f>
        <v>264717.30285000004</v>
      </c>
      <c r="G30" s="61">
        <f>$C$16*(1+G$26)*(1+$B30)</f>
        <v>277322.88870000001</v>
      </c>
    </row>
    <row r="31" spans="2:8" s="1" customFormat="1">
      <c r="B31" s="97">
        <v>0.2</v>
      </c>
      <c r="C31" s="61">
        <f>$C$16*(1+C$26)*(1+$B31)</f>
        <v>247527.86759999994</v>
      </c>
      <c r="D31" s="61">
        <f>$C$16*(1+D$26)*(1+$B31)</f>
        <v>261279.41579999993</v>
      </c>
      <c r="E31" s="61">
        <f>$C$16*(1+E$26)*(1+$B31)</f>
        <v>275030.96399999998</v>
      </c>
      <c r="F31" s="61">
        <f>$C$16*(1+F$26)*(1+$B31)</f>
        <v>288782.5122</v>
      </c>
      <c r="G31" s="61">
        <f>$C$16*(1+G$26)*(1+$B31)</f>
        <v>302534.06039999996</v>
      </c>
    </row>
    <row r="32" spans="2:8" s="1" customFormat="1"/>
    <row r="33" spans="2:6" s="1" customFormat="1"/>
    <row r="34" spans="2:6" s="1" customFormat="1">
      <c r="B34" s="69" t="s">
        <v>564</v>
      </c>
      <c r="C34" s="70"/>
      <c r="D34" s="70"/>
      <c r="E34" s="70"/>
      <c r="F34" s="70"/>
    </row>
    <row r="35" spans="2:6" s="1" customFormat="1">
      <c r="B35" s="53" t="s">
        <v>565</v>
      </c>
      <c r="C35" s="98">
        <v>229192.47</v>
      </c>
    </row>
    <row r="36" spans="2:6" s="1" customFormat="1">
      <c r="B36" s="53" t="s">
        <v>566</v>
      </c>
      <c r="C36" s="99">
        <v>0.1</v>
      </c>
    </row>
    <row r="37" spans="2:6" s="1" customFormat="1">
      <c r="B37" s="53" t="s">
        <v>567</v>
      </c>
      <c r="C37" s="81">
        <f>C35*(1+C36)</f>
        <v>252111.71700000003</v>
      </c>
    </row>
    <row r="38" spans="2:6" s="1" customFormat="1">
      <c r="B38" s="53" t="s">
        <v>568</v>
      </c>
      <c r="C38" s="31">
        <v>275000</v>
      </c>
    </row>
    <row r="39" spans="2:6" s="1" customFormat="1">
      <c r="B39" s="53" t="s">
        <v>569</v>
      </c>
      <c r="C39" s="100">
        <f>C37-C38</f>
        <v>-22888.282999999967</v>
      </c>
    </row>
    <row r="40" spans="2:6" s="1" customFormat="1">
      <c r="B40" s="53" t="s">
        <v>570</v>
      </c>
      <c r="C40" s="101">
        <f>C38/C35-1</f>
        <v>0.19986489957545284</v>
      </c>
    </row>
    <row r="41" spans="2:6" s="1" customFormat="1"/>
    <row r="42" spans="2:6" s="1" customFormat="1"/>
    <row r="43" spans="2:6" s="1" customFormat="1"/>
    <row r="44" spans="2:6" s="1" customFormat="1"/>
    <row r="45" spans="2:6" s="1" customFormat="1"/>
    <row r="46" spans="2:6" s="1" customFormat="1"/>
    <row r="47" spans="2:6" s="1" customFormat="1"/>
    <row r="48" spans="2:6" s="1" customFormat="1"/>
    <row r="49" s="1" customFormat="1"/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5F89-A646-4BF1-8EDB-7C4A67121C58}">
  <dimension ref="A1:L47"/>
  <sheetViews>
    <sheetView topLeftCell="A25" workbookViewId="0">
      <selection activeCell="G47" sqref="G47"/>
    </sheetView>
  </sheetViews>
  <sheetFormatPr defaultRowHeight="14.4"/>
  <cols>
    <col min="9" max="9" width="11.44140625" customWidth="1"/>
    <col min="10" max="10" width="10.21875" customWidth="1"/>
  </cols>
  <sheetData>
    <row r="1" spans="1:12" s="1" customFormat="1" ht="21">
      <c r="A1" s="51" t="s">
        <v>571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s="1" customFormat="1">
      <c r="A2" s="52" t="s">
        <v>572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/>
    <row r="4" spans="1:12" s="1" customFormat="1"/>
    <row r="5" spans="1:12" s="1" customFormat="1" ht="39.6">
      <c r="A5" s="102" t="s">
        <v>467</v>
      </c>
      <c r="B5" s="102" t="s">
        <v>573</v>
      </c>
      <c r="C5" s="102" t="s">
        <v>574</v>
      </c>
      <c r="D5" s="102" t="s">
        <v>575</v>
      </c>
      <c r="E5" s="102" t="s">
        <v>576</v>
      </c>
      <c r="G5" s="67" t="s">
        <v>577</v>
      </c>
      <c r="H5" s="68"/>
    </row>
    <row r="6" spans="1:12" s="1" customFormat="1">
      <c r="A6" s="76" t="s">
        <v>578</v>
      </c>
      <c r="B6" s="74">
        <f>ROWS($B$6:B6)</f>
        <v>1</v>
      </c>
      <c r="C6" s="92">
        <v>17039.349999999999</v>
      </c>
      <c r="D6" s="61">
        <f>$H$18+$H$19*B6</f>
        <v>16607.628636363635</v>
      </c>
      <c r="E6" s="93">
        <f>C6-D6</f>
        <v>431.72136363636309</v>
      </c>
      <c r="G6" s="55" t="s">
        <v>579</v>
      </c>
      <c r="H6" s="103">
        <f>SQRT(H7)</f>
        <v>0.2764911668768375</v>
      </c>
    </row>
    <row r="7" spans="1:12" s="1" customFormat="1">
      <c r="A7" s="76" t="s">
        <v>580</v>
      </c>
      <c r="B7" s="74">
        <f>ROWS($B$6:B7)</f>
        <v>2</v>
      </c>
      <c r="C7" s="92">
        <v>19299.45</v>
      </c>
      <c r="D7" s="61">
        <f>$H$18+$H$19*B7</f>
        <v>16945.981272727273</v>
      </c>
      <c r="E7" s="93">
        <f>C7-D7</f>
        <v>2353.4687272727278</v>
      </c>
      <c r="G7" s="55" t="s">
        <v>581</v>
      </c>
      <c r="H7" s="103">
        <f>RSQ($C$6:$C$16,$B$6:$B$16)</f>
        <v>7.6447365360915204E-2</v>
      </c>
    </row>
    <row r="8" spans="1:12" s="1" customFormat="1">
      <c r="A8" s="76" t="s">
        <v>582</v>
      </c>
      <c r="B8" s="74">
        <f>ROWS($B$6:B8)</f>
        <v>3</v>
      </c>
      <c r="C8" s="92">
        <v>18479.400000000001</v>
      </c>
      <c r="D8" s="61">
        <f>$H$18+$H$19*B8</f>
        <v>17284.33390909091</v>
      </c>
      <c r="E8" s="93">
        <f>C8-D8</f>
        <v>1195.0660909090911</v>
      </c>
      <c r="G8" s="55" t="s">
        <v>583</v>
      </c>
      <c r="H8" s="103">
        <f>1-(1-H7)*(H10-1)/(H10-2)</f>
        <v>-2.6169594043427669E-2</v>
      </c>
    </row>
    <row r="9" spans="1:12" s="1" customFormat="1">
      <c r="A9" s="76" t="s">
        <v>584</v>
      </c>
      <c r="B9" s="74">
        <f>ROWS($B$6:B9)</f>
        <v>4</v>
      </c>
      <c r="C9" s="92">
        <v>15759.43</v>
      </c>
      <c r="D9" s="61">
        <f>$H$18+$H$19*B9</f>
        <v>17622.686545454544</v>
      </c>
      <c r="E9" s="93">
        <f>C9-D9</f>
        <v>-1863.2565454545438</v>
      </c>
      <c r="G9" s="55" t="s">
        <v>585</v>
      </c>
      <c r="H9" s="81">
        <f>STEYX($C$6:$C$16,$B$6:$B$16)</f>
        <v>4111.4424636589138</v>
      </c>
    </row>
    <row r="10" spans="1:12" s="1" customFormat="1">
      <c r="A10" s="76" t="s">
        <v>586</v>
      </c>
      <c r="B10" s="74">
        <f>ROWS($B$6:B10)</f>
        <v>5</v>
      </c>
      <c r="C10" s="92">
        <v>12989.51</v>
      </c>
      <c r="D10" s="61">
        <f>$H$18+$H$19*B10</f>
        <v>17961.039181818182</v>
      </c>
      <c r="E10" s="93">
        <f>C10-D10</f>
        <v>-4971.5291818181813</v>
      </c>
      <c r="G10" s="55" t="s">
        <v>587</v>
      </c>
      <c r="H10" s="74">
        <f>COUNT($C$6:$C$16)</f>
        <v>11</v>
      </c>
    </row>
    <row r="11" spans="1:12" s="1" customFormat="1">
      <c r="A11" s="76" t="s">
        <v>588</v>
      </c>
      <c r="B11" s="74">
        <f>ROWS($B$6:B11)</f>
        <v>6</v>
      </c>
      <c r="C11" s="92">
        <v>20609.52</v>
      </c>
      <c r="D11" s="61">
        <f>$H$18+$H$19*B11</f>
        <v>18299.391818181819</v>
      </c>
      <c r="E11" s="93">
        <f>C11-D11</f>
        <v>2310.1281818181815</v>
      </c>
      <c r="G11" s="67" t="s">
        <v>589</v>
      </c>
      <c r="H11" s="68"/>
      <c r="I11" s="68"/>
      <c r="J11" s="68"/>
      <c r="K11" s="68"/>
      <c r="L11" s="68"/>
    </row>
    <row r="12" spans="1:12" s="1" customFormat="1" ht="26.4">
      <c r="A12" s="76" t="s">
        <v>590</v>
      </c>
      <c r="B12" s="74">
        <f>ROWS($B$6:B12)</f>
        <v>7</v>
      </c>
      <c r="C12" s="92">
        <v>12309.44</v>
      </c>
      <c r="D12" s="61">
        <f>$H$18+$H$19*B12</f>
        <v>18637.744454545456</v>
      </c>
      <c r="E12" s="93">
        <f>C12-D12</f>
        <v>-6328.3044545454559</v>
      </c>
      <c r="G12" s="43" t="s">
        <v>436</v>
      </c>
      <c r="H12" s="43" t="s">
        <v>591</v>
      </c>
      <c r="I12" s="43" t="s">
        <v>592</v>
      </c>
      <c r="J12" s="43" t="s">
        <v>593</v>
      </c>
      <c r="K12" s="43" t="s">
        <v>594</v>
      </c>
      <c r="L12" s="43" t="s">
        <v>595</v>
      </c>
    </row>
    <row r="13" spans="1:12" s="1" customFormat="1">
      <c r="A13" s="76" t="s">
        <v>596</v>
      </c>
      <c r="B13" s="74">
        <f>ROWS($B$6:B13)</f>
        <v>8</v>
      </c>
      <c r="C13" s="92">
        <v>23039.3</v>
      </c>
      <c r="D13" s="61">
        <f>$H$18+$H$19*B13</f>
        <v>18976.09709090909</v>
      </c>
      <c r="E13" s="93">
        <f>C13-D13</f>
        <v>4063.2029090909091</v>
      </c>
      <c r="G13" s="55" t="s">
        <v>597</v>
      </c>
      <c r="H13" s="76">
        <v>1</v>
      </c>
      <c r="I13" s="62">
        <f>H7*DEVSQ($C$6:$C$16)</f>
        <v>12593075.718764551</v>
      </c>
      <c r="J13" s="62">
        <f>I13/H13</f>
        <v>12593075.718764551</v>
      </c>
      <c r="K13" s="104">
        <f>J13/J14</f>
        <v>0.74497788479279325</v>
      </c>
      <c r="L13" s="105">
        <f>FDIST(K13,H13,H14)</f>
        <v>0.41048134704047545</v>
      </c>
    </row>
    <row r="14" spans="1:12" s="1" customFormat="1">
      <c r="A14" s="76" t="s">
        <v>598</v>
      </c>
      <c r="B14" s="74">
        <f>ROWS($B$6:B14)</f>
        <v>9</v>
      </c>
      <c r="C14" s="92">
        <v>25799.15</v>
      </c>
      <c r="D14" s="61">
        <f>$H$18+$H$19*B14</f>
        <v>19314.449727272728</v>
      </c>
      <c r="E14" s="93">
        <f>C14-D14</f>
        <v>6484.7002727272738</v>
      </c>
      <c r="G14" s="55" t="s">
        <v>576</v>
      </c>
      <c r="H14" s="76">
        <f>H10-2</f>
        <v>9</v>
      </c>
      <c r="I14" s="62">
        <f>DEVSQ($C$6:$C$16)-I13</f>
        <v>152135632.1877991</v>
      </c>
      <c r="J14" s="62">
        <f>I14/H14</f>
        <v>16903959.131977677</v>
      </c>
    </row>
    <row r="15" spans="1:12" s="1" customFormat="1">
      <c r="A15" s="76" t="s">
        <v>599</v>
      </c>
      <c r="B15" s="74">
        <f>ROWS($B$6:B15)</f>
        <v>10</v>
      </c>
      <c r="C15" s="92">
        <v>16069.38</v>
      </c>
      <c r="D15" s="61">
        <f>$H$18+$H$19*B15</f>
        <v>19652.802363636365</v>
      </c>
      <c r="E15" s="93">
        <f>C15-D15</f>
        <v>-3583.4223636363658</v>
      </c>
      <c r="G15" s="55" t="s">
        <v>453</v>
      </c>
      <c r="H15" s="76">
        <f>H10-1</f>
        <v>10</v>
      </c>
      <c r="I15" s="62">
        <f>DEVSQ($C$6:$C$16)</f>
        <v>164728707.90656364</v>
      </c>
    </row>
    <row r="16" spans="1:12" s="1" customFormat="1">
      <c r="A16" s="76" t="s">
        <v>600</v>
      </c>
      <c r="B16" s="74">
        <f>ROWS($B$6:B16)</f>
        <v>11</v>
      </c>
      <c r="C16" s="92">
        <v>19899.38</v>
      </c>
      <c r="D16" s="61">
        <f>$H$18+$H$19*B16</f>
        <v>19991.155000000002</v>
      </c>
      <c r="E16" s="93">
        <f>C16-D16</f>
        <v>-91.775000000001455</v>
      </c>
    </row>
    <row r="17" spans="7:11" s="1" customFormat="1" ht="26.4">
      <c r="G17" s="43" t="s">
        <v>436</v>
      </c>
      <c r="H17" s="43" t="s">
        <v>601</v>
      </c>
      <c r="I17" s="43" t="s">
        <v>585</v>
      </c>
      <c r="J17" s="43" t="s">
        <v>602</v>
      </c>
      <c r="K17" s="43" t="s">
        <v>603</v>
      </c>
    </row>
    <row r="18" spans="7:11" s="1" customFormat="1">
      <c r="G18" s="55" t="s">
        <v>604</v>
      </c>
      <c r="H18" s="106">
        <f>INTERCEPT($C$6:$C$16,$B$6:$B$16)</f>
        <v>16269.276</v>
      </c>
      <c r="I18" s="106">
        <f>H9*SQRT(1/H10+AVERAGE($B$6:$B$16)^2/DEVSQ($B$6:$B$16))</f>
        <v>2658.7456373789455</v>
      </c>
      <c r="J18" s="104">
        <f>H18/I18</f>
        <v>6.1191547515010267</v>
      </c>
      <c r="K18" s="105">
        <f>TDIST(ABS(J18),$H$14,2)</f>
        <v>1.7513080734011559E-4</v>
      </c>
    </row>
    <row r="19" spans="7:11" s="1" customFormat="1">
      <c r="G19" s="55" t="s">
        <v>605</v>
      </c>
      <c r="H19" s="106">
        <f>SLOPE($C$6:$C$16,$B$6:$B$16)</f>
        <v>338.35263636363646</v>
      </c>
      <c r="I19" s="106">
        <f>H9/SQRT(DEVSQ($B$6:$B$16))</f>
        <v>392.01065769345053</v>
      </c>
      <c r="J19" s="104">
        <f>H19/I19</f>
        <v>0.86312101399096597</v>
      </c>
      <c r="K19" s="105">
        <f>TDIST(ABS(J19),$H$14,2)</f>
        <v>0.41048134704047523</v>
      </c>
    </row>
    <row r="20" spans="7:11" s="1" customFormat="1"/>
    <row r="21" spans="7:11" s="1" customFormat="1"/>
    <row r="22" spans="7:11" s="1" customFormat="1">
      <c r="G22" s="41" t="s">
        <v>606</v>
      </c>
      <c r="H22" s="42"/>
      <c r="I22" s="42"/>
    </row>
    <row r="23" spans="7:11" s="1" customFormat="1" ht="26.4">
      <c r="G23" s="44" t="s">
        <v>467</v>
      </c>
      <c r="H23" s="44" t="s">
        <v>607</v>
      </c>
      <c r="I23" s="44" t="s">
        <v>608</v>
      </c>
    </row>
    <row r="24" spans="7:11" s="1" customFormat="1">
      <c r="G24" s="76" t="s">
        <v>609</v>
      </c>
      <c r="H24" s="74">
        <f>$B$16+1</f>
        <v>12</v>
      </c>
      <c r="I24" s="61">
        <f>$H$18+$H$19*H24</f>
        <v>20329.507636363636</v>
      </c>
    </row>
    <row r="25" spans="7:11" s="1" customFormat="1">
      <c r="G25" s="76" t="s">
        <v>610</v>
      </c>
      <c r="H25" s="74">
        <f>$B$16+2</f>
        <v>13</v>
      </c>
      <c r="I25" s="61">
        <f>$H$18+$H$19*H25</f>
        <v>20667.860272727274</v>
      </c>
    </row>
    <row r="26" spans="7:11" s="1" customFormat="1">
      <c r="G26" s="76" t="s">
        <v>611</v>
      </c>
      <c r="H26" s="74">
        <f>$B$16+3</f>
        <v>14</v>
      </c>
      <c r="I26" s="61">
        <f>$H$18+$H$19*H26</f>
        <v>21006.212909090911</v>
      </c>
    </row>
    <row r="27" spans="7:11" s="1" customFormat="1"/>
    <row r="28" spans="7:11" s="1" customFormat="1"/>
    <row r="29" spans="7:11" s="1" customFormat="1"/>
    <row r="30" spans="7:11" s="1" customFormat="1"/>
    <row r="31" spans="7:11" s="1" customFormat="1"/>
    <row r="32" spans="7:11" s="1" customFormat="1"/>
    <row r="33" spans="7:12" s="1" customFormat="1"/>
    <row r="34" spans="7:12" s="1" customFormat="1"/>
    <row r="35" spans="7:12" s="1" customFormat="1"/>
    <row r="36" spans="7:12" s="1" customFormat="1"/>
    <row r="37" spans="7:12" s="1" customFormat="1"/>
    <row r="38" spans="7:12" s="1" customFormat="1"/>
    <row r="39" spans="7:12" s="1" customFormat="1"/>
    <row r="40" spans="7:12" s="1" customFormat="1"/>
    <row r="41" spans="7:12" s="1" customFormat="1"/>
    <row r="42" spans="7:12" s="1" customFormat="1"/>
    <row r="43" spans="7:12" s="1" customFormat="1"/>
    <row r="44" spans="7:12" s="1" customFormat="1"/>
    <row r="45" spans="7:12" s="1" customFormat="1">
      <c r="G45"/>
      <c r="H45"/>
      <c r="I45"/>
      <c r="J45"/>
      <c r="K45"/>
      <c r="L45"/>
    </row>
    <row r="46" spans="7:12" s="1" customFormat="1">
      <c r="G46"/>
      <c r="H46"/>
      <c r="I46"/>
      <c r="J46"/>
      <c r="K46"/>
      <c r="L46"/>
    </row>
    <row r="47" spans="7:12" s="1" customFormat="1">
      <c r="G47"/>
      <c r="H47"/>
      <c r="I47"/>
      <c r="J47"/>
      <c r="K47"/>
      <c r="L47"/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6584-6A1A-457B-B376-3B1C4CD3FE88}">
  <dimension ref="A1:S64"/>
  <sheetViews>
    <sheetView zoomScale="48" workbookViewId="0">
      <selection activeCell="Q33" sqref="Q33"/>
    </sheetView>
  </sheetViews>
  <sheetFormatPr defaultRowHeight="14.4"/>
  <cols>
    <col min="4" max="4" width="13.33203125" customWidth="1"/>
    <col min="5" max="5" width="17.33203125" customWidth="1"/>
    <col min="8" max="8" width="11.109375" customWidth="1"/>
    <col min="10" max="10" width="14.33203125" customWidth="1"/>
    <col min="14" max="14" width="21.77734375" customWidth="1"/>
  </cols>
  <sheetData>
    <row r="1" spans="1:19" s="1" customFormat="1" ht="21">
      <c r="A1" s="51" t="s">
        <v>612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s="1" customFormat="1">
      <c r="A2" s="52" t="s">
        <v>613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s="1" customFormat="1"/>
    <row r="4" spans="1:19" s="1" customFormat="1">
      <c r="A4" s="41" t="s">
        <v>614</v>
      </c>
      <c r="B4" s="42"/>
      <c r="C4" s="42"/>
      <c r="D4" s="42"/>
      <c r="E4" s="42"/>
      <c r="F4" s="42"/>
      <c r="H4" s="112" t="s">
        <v>615</v>
      </c>
      <c r="I4" s="112"/>
      <c r="J4" s="112"/>
      <c r="K4" s="112"/>
      <c r="L4" s="112"/>
      <c r="M4" s="112"/>
      <c r="N4" s="112"/>
      <c r="O4" s="112"/>
    </row>
    <row r="5" spans="1:19" s="1" customFormat="1" ht="26.4">
      <c r="A5" s="43" t="s">
        <v>35</v>
      </c>
      <c r="B5" s="43" t="s">
        <v>616</v>
      </c>
      <c r="C5" s="43" t="s">
        <v>617</v>
      </c>
      <c r="D5" s="43" t="s">
        <v>618</v>
      </c>
      <c r="E5" s="43" t="s">
        <v>619</v>
      </c>
      <c r="F5" s="43" t="s">
        <v>620</v>
      </c>
      <c r="H5" s="43" t="s">
        <v>461</v>
      </c>
      <c r="I5" s="43" t="s">
        <v>621</v>
      </c>
      <c r="J5" s="43" t="s">
        <v>622</v>
      </c>
      <c r="K5" s="43" t="s">
        <v>623</v>
      </c>
      <c r="L5" s="43" t="s">
        <v>624</v>
      </c>
      <c r="M5" s="109" t="s">
        <v>625</v>
      </c>
      <c r="N5" s="110"/>
      <c r="O5" s="111"/>
    </row>
    <row r="6" spans="1:19" s="1" customFormat="1">
      <c r="A6" s="55" t="s">
        <v>419</v>
      </c>
      <c r="B6" s="55" t="s">
        <v>420</v>
      </c>
      <c r="C6" s="76" t="str">
        <f>LEFT(B6,1)&amp;MID(B6,FIND(" ",B6)+1,1)</f>
        <v>JS</v>
      </c>
      <c r="D6" s="76" t="str">
        <f>UPPER(LEFT(B6,1)&amp;LEFT(MID(B6,FIND(" ",B6)+1,20),3))&amp;"-"&amp;RIGHT(A6,3)</f>
        <v>JSMI-001</v>
      </c>
      <c r="E6" s="55" t="str">
        <f>UPPER(MID(B6,FIND(" ",B6)+1,20))&amp;", "&amp;LEFT(B6,FIND(" ",B6)-1)</f>
        <v>SMITH, John</v>
      </c>
      <c r="F6" s="76">
        <f>LEN(B6)</f>
        <v>10</v>
      </c>
      <c r="H6" s="55" t="s">
        <v>99</v>
      </c>
      <c r="I6" s="76" t="str">
        <f>UPPER(LEFT(H6,3))</f>
        <v>LAP</v>
      </c>
      <c r="J6" s="76" t="str">
        <f>UPPER(LEFT(H6,2))&amp;TEXT(ROWS($H$6:H6),"00")</f>
        <v>LA01</v>
      </c>
      <c r="K6" s="76" t="s">
        <v>626</v>
      </c>
      <c r="L6" s="76" t="s">
        <v>627</v>
      </c>
      <c r="M6" s="55" t="s">
        <v>628</v>
      </c>
    </row>
    <row r="7" spans="1:19" s="1" customFormat="1">
      <c r="A7" s="55" t="s">
        <v>165</v>
      </c>
      <c r="B7" s="55" t="s">
        <v>166</v>
      </c>
      <c r="C7" s="76" t="str">
        <f>LEFT(B7,1)&amp;MID(B7,FIND(" ",B7)+1,1)</f>
        <v>EW</v>
      </c>
      <c r="D7" s="76" t="str">
        <f>UPPER(LEFT(B7,1)&amp;LEFT(MID(B7,FIND(" ",B7)+1,20),3))&amp;"-"&amp;RIGHT(A7,3)</f>
        <v>EWIL-002</v>
      </c>
      <c r="E7" s="55" t="str">
        <f>UPPER(MID(B7,FIND(" ",B7)+1,20))&amp;", "&amp;LEFT(B7,FIND(" ",B7)-1)</f>
        <v>WILSON, Emma</v>
      </c>
      <c r="F7" s="76">
        <f>LEN(B7)</f>
        <v>11</v>
      </c>
      <c r="H7" s="55" t="s">
        <v>118</v>
      </c>
      <c r="I7" s="76" t="str">
        <f>UPPER(LEFT(H7,3))</f>
        <v>SMA</v>
      </c>
      <c r="J7" s="76" t="str">
        <f>UPPER(LEFT(H7,2))&amp;TEXT(ROWS($H$6:H7),"00")</f>
        <v>SM02</v>
      </c>
      <c r="K7" s="76" t="s">
        <v>626</v>
      </c>
      <c r="L7" s="76" t="s">
        <v>629</v>
      </c>
      <c r="M7" s="55" t="s">
        <v>630</v>
      </c>
    </row>
    <row r="8" spans="1:19" s="1" customFormat="1" ht="26.4" customHeight="1">
      <c r="A8" s="55" t="s">
        <v>79</v>
      </c>
      <c r="B8" s="55" t="s">
        <v>80</v>
      </c>
      <c r="C8" s="76" t="str">
        <f>LEFT(B8,1)&amp;MID(B8,FIND(" ",B8)+1,1)</f>
        <v>MB</v>
      </c>
      <c r="D8" s="76" t="str">
        <f>UPPER(LEFT(B8,1)&amp;LEFT(MID(B8,FIND(" ",B8)+1,20),3))&amp;"-"&amp;RIGHT(A8,3)</f>
        <v>MBRO-003</v>
      </c>
      <c r="E8" s="55" t="str">
        <f>UPPER(MID(B8,FIND(" ",B8)+1,20))&amp;", "&amp;LEFT(B8,FIND(" ",B8)-1)</f>
        <v>BROWN, Michael</v>
      </c>
      <c r="F8" s="76">
        <f>LEN(B8)</f>
        <v>13</v>
      </c>
      <c r="H8" s="55" t="s">
        <v>140</v>
      </c>
      <c r="I8" s="76" t="str">
        <f>UPPER(LEFT(H8,3))</f>
        <v>DES</v>
      </c>
      <c r="J8" s="76" t="str">
        <f>UPPER(LEFT(H8,2))&amp;TEXT(ROWS($H$6:H8),"00")</f>
        <v>DE03</v>
      </c>
      <c r="K8" s="76" t="s">
        <v>631</v>
      </c>
      <c r="L8" s="76" t="s">
        <v>632</v>
      </c>
      <c r="M8" s="55" t="s">
        <v>633</v>
      </c>
      <c r="Q8" s="1" t="s">
        <v>625</v>
      </c>
    </row>
    <row r="9" spans="1:19" s="1" customFormat="1">
      <c r="A9" s="55" t="s">
        <v>187</v>
      </c>
      <c r="B9" s="55" t="s">
        <v>188</v>
      </c>
      <c r="C9" s="76" t="str">
        <f>LEFT(B9,1)&amp;MID(B9,FIND(" ",B9)+1,1)</f>
        <v>SD</v>
      </c>
      <c r="D9" s="76" t="str">
        <f>UPPER(LEFT(B9,1)&amp;LEFT(MID(B9,FIND(" ",B9)+1,20),3))&amp;"-"&amp;RIGHT(A9,3)</f>
        <v>SDAV-004</v>
      </c>
      <c r="E9" s="55" t="str">
        <f>UPPER(MID(B9,FIND(" ",B9)+1,20))&amp;", "&amp;LEFT(B9,FIND(" ",B9)-1)</f>
        <v>DAVIS, Sarah</v>
      </c>
      <c r="F9" s="76">
        <f>LEN(B9)</f>
        <v>11</v>
      </c>
      <c r="H9" s="55" t="s">
        <v>55</v>
      </c>
      <c r="I9" s="76" t="str">
        <f>UPPER(LEFT(H9,3))</f>
        <v>MON</v>
      </c>
      <c r="J9" s="76" t="str">
        <f>UPPER(LEFT(H9,2))&amp;TEXT(ROWS($H$6:H9),"00")</f>
        <v>MO04</v>
      </c>
      <c r="K9" s="76" t="s">
        <v>626</v>
      </c>
      <c r="L9" s="76" t="s">
        <v>634</v>
      </c>
      <c r="M9" s="55" t="s">
        <v>635</v>
      </c>
    </row>
    <row r="10" spans="1:19" s="1" customFormat="1">
      <c r="A10" s="55" t="s">
        <v>337</v>
      </c>
      <c r="B10" s="55" t="s">
        <v>338</v>
      </c>
      <c r="C10" s="76" t="str">
        <f>LEFT(B10,1)&amp;MID(B10,FIND(" ",B10)+1,1)</f>
        <v>JJ</v>
      </c>
      <c r="D10" s="76" t="str">
        <f>UPPER(LEFT(B10,1)&amp;LEFT(MID(B10,FIND(" ",B10)+1,20),3))&amp;"-"&amp;RIGHT(A10,3)</f>
        <v>JJOH-005</v>
      </c>
      <c r="E10" s="55" t="str">
        <f>UPPER(MID(B10,FIND(" ",B10)+1,20))&amp;", "&amp;LEFT(B10,FIND(" ",B10)-1)</f>
        <v>JOHNSON, James</v>
      </c>
      <c r="F10" s="76">
        <f>LEN(B10)</f>
        <v>13</v>
      </c>
      <c r="H10" s="55" t="s">
        <v>82</v>
      </c>
      <c r="I10" s="76" t="str">
        <f>UPPER(LEFT(H10,3))</f>
        <v>BOO</v>
      </c>
      <c r="J10" s="76" t="str">
        <f>UPPER(LEFT(H10,2))&amp;TEXT(ROWS($H$6:H10),"00")</f>
        <v>BO05</v>
      </c>
      <c r="K10" s="76" t="s">
        <v>631</v>
      </c>
      <c r="L10" s="76" t="s">
        <v>636</v>
      </c>
      <c r="M10" s="55" t="s">
        <v>637</v>
      </c>
    </row>
    <row r="11" spans="1:19" s="1" customFormat="1">
      <c r="A11" s="55" t="s">
        <v>162</v>
      </c>
      <c r="B11" s="55" t="s">
        <v>163</v>
      </c>
      <c r="C11" s="76" t="str">
        <f>LEFT(B11,1)&amp;MID(B11,FIND(" ",B11)+1,1)</f>
        <v>LA</v>
      </c>
      <c r="D11" s="76" t="str">
        <f>UPPER(LEFT(B11,1)&amp;LEFT(MID(B11,FIND(" ",B11)+1,20),3))&amp;"-"&amp;RIGHT(A11,3)</f>
        <v>LAND-006</v>
      </c>
      <c r="E11" s="55" t="str">
        <f>UPPER(MID(B11,FIND(" ",B11)+1,20))&amp;", "&amp;LEFT(B11,FIND(" ",B11)-1)</f>
        <v>ANDERSON, Lisa</v>
      </c>
      <c r="F11" s="76">
        <f>LEN(B11)</f>
        <v>13</v>
      </c>
      <c r="H11" s="55" t="s">
        <v>160</v>
      </c>
      <c r="I11" s="76" t="str">
        <f>UPPER(LEFT(H11,3))</f>
        <v>OFF</v>
      </c>
      <c r="J11" s="76" t="str">
        <f>UPPER(LEFT(H11,2))&amp;TEXT(ROWS($H$6:H11),"00")</f>
        <v>OF06</v>
      </c>
      <c r="K11" s="76" t="s">
        <v>631</v>
      </c>
      <c r="L11" s="76" t="s">
        <v>638</v>
      </c>
      <c r="M11" s="55" t="s">
        <v>639</v>
      </c>
    </row>
    <row r="12" spans="1:19" s="1" customFormat="1">
      <c r="A12" s="55" t="s">
        <v>215</v>
      </c>
      <c r="B12" s="55" t="s">
        <v>216</v>
      </c>
      <c r="C12" s="76" t="str">
        <f>LEFT(B12,1)&amp;MID(B12,FIND(" ",B12)+1,1)</f>
        <v>DM</v>
      </c>
      <c r="D12" s="76" t="str">
        <f>UPPER(LEFT(B12,1)&amp;LEFT(MID(B12,FIND(" ",B12)+1,20),3))&amp;"-"&amp;RIGHT(A12,3)</f>
        <v>DMAR-007</v>
      </c>
      <c r="E12" s="55" t="str">
        <f>UPPER(MID(B12,FIND(" ",B12)+1,20))&amp;", "&amp;LEFT(B12,FIND(" ",B12)-1)</f>
        <v>MARTINEZ, David</v>
      </c>
      <c r="F12" s="76">
        <f>LEN(B12)</f>
        <v>14</v>
      </c>
      <c r="H12" s="55" t="s">
        <v>152</v>
      </c>
      <c r="I12" s="76" t="str">
        <f>UPPER(LEFT(H12,3))</f>
        <v>KEY</v>
      </c>
      <c r="J12" s="76" t="str">
        <f>UPPER(LEFT(H12,2))&amp;TEXT(ROWS($H$6:H12),"00")</f>
        <v>KE07</v>
      </c>
      <c r="K12" s="76" t="s">
        <v>626</v>
      </c>
      <c r="L12" s="76" t="s">
        <v>640</v>
      </c>
      <c r="M12" s="55" t="s">
        <v>641</v>
      </c>
    </row>
    <row r="13" spans="1:19" s="1" customFormat="1">
      <c r="A13" s="55" t="s">
        <v>174</v>
      </c>
      <c r="B13" s="55" t="s">
        <v>175</v>
      </c>
      <c r="C13" s="76" t="str">
        <f>LEFT(B13,1)&amp;MID(B13,FIND(" ",B13)+1,1)</f>
        <v>JT</v>
      </c>
      <c r="D13" s="76" t="str">
        <f>UPPER(LEFT(B13,1)&amp;LEFT(MID(B13,FIND(" ",B13)+1,20),3))&amp;"-"&amp;RIGHT(A13,3)</f>
        <v>JTAY-008</v>
      </c>
      <c r="E13" s="55" t="str">
        <f>UPPER(MID(B13,FIND(" ",B13)+1,20))&amp;", "&amp;LEFT(B13,FIND(" ",B13)-1)</f>
        <v>TAYLOR, Jennifer</v>
      </c>
      <c r="F13" s="76">
        <f>LEN(B13)</f>
        <v>15</v>
      </c>
      <c r="H13" s="55" t="s">
        <v>90</v>
      </c>
      <c r="I13" s="76" t="str">
        <f>UPPER(LEFT(H13,3))</f>
        <v>HEA</v>
      </c>
      <c r="J13" s="76" t="str">
        <f>UPPER(LEFT(H13,2))&amp;TEXT(ROWS($H$6:H13),"00")</f>
        <v>HE08</v>
      </c>
      <c r="K13" s="76" t="s">
        <v>626</v>
      </c>
      <c r="L13" s="76" t="s">
        <v>636</v>
      </c>
      <c r="M13" s="55" t="s">
        <v>642</v>
      </c>
    </row>
    <row r="14" spans="1:19" s="1" customFormat="1">
      <c r="A14" s="55" t="s">
        <v>96</v>
      </c>
      <c r="B14" s="55" t="s">
        <v>97</v>
      </c>
      <c r="C14" s="76" t="str">
        <f>LEFT(B14,1)&amp;MID(B14,FIND(" ",B14)+1,1)</f>
        <v>RT</v>
      </c>
      <c r="D14" s="76" t="str">
        <f>UPPER(LEFT(B14,1)&amp;LEFT(MID(B14,FIND(" ",B14)+1,20),3))&amp;"-"&amp;RIGHT(A14,3)</f>
        <v>RTHO-009</v>
      </c>
      <c r="E14" s="55" t="str">
        <f>UPPER(MID(B14,FIND(" ",B14)+1,20))&amp;", "&amp;LEFT(B14,FIND(" ",B14)-1)</f>
        <v>THOMAS, Robert</v>
      </c>
      <c r="F14" s="76">
        <f>LEN(B14)</f>
        <v>13</v>
      </c>
      <c r="H14" s="55" t="s">
        <v>69</v>
      </c>
      <c r="I14" s="76" t="str">
        <f>UPPER(LEFT(H14,3))</f>
        <v>BLE</v>
      </c>
      <c r="J14" s="76" t="str">
        <f>UPPER(LEFT(H14,2))&amp;TEXT(ROWS($H$6:H14),"00")</f>
        <v>BL09</v>
      </c>
      <c r="K14" s="76" t="s">
        <v>643</v>
      </c>
      <c r="L14" s="76" t="s">
        <v>644</v>
      </c>
      <c r="M14" s="55" t="s">
        <v>645</v>
      </c>
    </row>
    <row r="15" spans="1:19" s="1" customFormat="1">
      <c r="A15" s="55" t="s">
        <v>125</v>
      </c>
      <c r="B15" s="55" t="s">
        <v>126</v>
      </c>
      <c r="C15" s="76" t="str">
        <f>LEFT(B15,1)&amp;MID(B15,FIND(" ",B15)+1,1)</f>
        <v>MG</v>
      </c>
      <c r="D15" s="76" t="str">
        <f>UPPER(LEFT(B15,1)&amp;LEFT(MID(B15,FIND(" ",B15)+1,20),3))&amp;"-"&amp;RIGHT(A15,3)</f>
        <v>MGAR-010</v>
      </c>
      <c r="E15" s="55" t="str">
        <f>UPPER(MID(B15,FIND(" ",B15)+1,20))&amp;", "&amp;LEFT(B15,FIND(" ",B15)-1)</f>
        <v>GARCIA, Maria</v>
      </c>
      <c r="F15" s="76">
        <f>LEN(B15)</f>
        <v>12</v>
      </c>
      <c r="H15" s="55" t="s">
        <v>149</v>
      </c>
      <c r="I15" s="76" t="str">
        <f>UPPER(LEFT(H15,3))</f>
        <v>COF</v>
      </c>
      <c r="J15" s="76" t="str">
        <f>UPPER(LEFT(H15,2))&amp;TEXT(ROWS($H$6:H15),"00")</f>
        <v>CO10</v>
      </c>
      <c r="K15" s="76" t="s">
        <v>643</v>
      </c>
      <c r="L15" s="76" t="s">
        <v>646</v>
      </c>
      <c r="M15" s="55" t="s">
        <v>647</v>
      </c>
    </row>
    <row r="16" spans="1:19" s="1" customFormat="1">
      <c r="A16" s="55" t="s">
        <v>285</v>
      </c>
      <c r="B16" s="55" t="s">
        <v>286</v>
      </c>
      <c r="C16" s="76" t="str">
        <f>LEFT(B16,1)&amp;MID(B16,FIND(" ",B16)+1,1)</f>
        <v>WW</v>
      </c>
      <c r="D16" s="76" t="str">
        <f>UPPER(LEFT(B16,1)&amp;LEFT(MID(B16,FIND(" ",B16)+1,20),3))&amp;"-"&amp;RIGHT(A16,3)</f>
        <v>WWHI-011</v>
      </c>
      <c r="E16" s="55" t="str">
        <f>UPPER(MID(B16,FIND(" ",B16)+1,20))&amp;", "&amp;LEFT(B16,FIND(" ",B16)-1)</f>
        <v>WHITE, William</v>
      </c>
      <c r="F16" s="76">
        <f>LEN(B16)</f>
        <v>13</v>
      </c>
    </row>
    <row r="17" spans="1:15" s="1" customFormat="1">
      <c r="A17" s="55" t="s">
        <v>134</v>
      </c>
      <c r="B17" s="55" t="s">
        <v>30</v>
      </c>
      <c r="C17" s="76" t="str">
        <f>LEFT(B17,1)&amp;MID(B17,FIND(" ",B17)+1,1)</f>
        <v>PM</v>
      </c>
      <c r="D17" s="76" t="str">
        <f>UPPER(LEFT(B17,1)&amp;LEFT(MID(B17,FIND(" ",B17)+1,20),3))&amp;"-"&amp;RIGHT(A17,3)</f>
        <v>PMOO-012</v>
      </c>
      <c r="E17" s="55" t="str">
        <f>UPPER(MID(B17,FIND(" ",B17)+1,20))&amp;", "&amp;LEFT(B17,FIND(" ",B17)-1)</f>
        <v>MOORE, Patricia</v>
      </c>
      <c r="F17" s="76">
        <f>LEN(B17)</f>
        <v>14</v>
      </c>
    </row>
    <row r="18" spans="1:15" s="1" customFormat="1">
      <c r="A18" s="55" t="s">
        <v>61</v>
      </c>
      <c r="B18" s="55" t="s">
        <v>62</v>
      </c>
      <c r="C18" s="76" t="str">
        <f>LEFT(B18,1)&amp;MID(B18,FIND(" ",B18)+1,1)</f>
        <v>JJ</v>
      </c>
      <c r="D18" s="76" t="str">
        <f>UPPER(LEFT(B18,1)&amp;LEFT(MID(B18,FIND(" ",B18)+1,20),3))&amp;"-"&amp;RIGHT(A18,3)</f>
        <v>JJAC-013</v>
      </c>
      <c r="E18" s="55" t="str">
        <f>UPPER(MID(B18,FIND(" ",B18)+1,20))&amp;", "&amp;LEFT(B18,FIND(" ",B18)-1)</f>
        <v>JACKSON, Joseph</v>
      </c>
      <c r="F18" s="76">
        <f>LEN(B18)</f>
        <v>14</v>
      </c>
    </row>
    <row r="19" spans="1:15" s="1" customFormat="1">
      <c r="A19" s="55" t="s">
        <v>146</v>
      </c>
      <c r="B19" s="55" t="s">
        <v>147</v>
      </c>
      <c r="C19" s="76" t="str">
        <f>LEFT(B19,1)&amp;MID(B19,FIND(" ",B19)+1,1)</f>
        <v>LM</v>
      </c>
      <c r="D19" s="76" t="str">
        <f>UPPER(LEFT(B19,1)&amp;LEFT(MID(B19,FIND(" ",B19)+1,20),3))&amp;"-"&amp;RIGHT(A19,3)</f>
        <v>LMAR-014</v>
      </c>
      <c r="E19" s="55" t="str">
        <f>UPPER(MID(B19,FIND(" ",B19)+1,20))&amp;", "&amp;LEFT(B19,FIND(" ",B19)-1)</f>
        <v>MARTIN, Linda</v>
      </c>
      <c r="F19" s="76">
        <f>LEN(B19)</f>
        <v>12</v>
      </c>
      <c r="H19" s="67" t="s">
        <v>648</v>
      </c>
      <c r="I19" s="68"/>
      <c r="J19" s="68"/>
      <c r="K19" s="68"/>
      <c r="L19" s="68"/>
      <c r="M19" s="68"/>
    </row>
    <row r="20" spans="1:15" s="1" customFormat="1" ht="52.8">
      <c r="A20" s="55" t="s">
        <v>292</v>
      </c>
      <c r="B20" s="55" t="s">
        <v>293</v>
      </c>
      <c r="C20" s="76" t="str">
        <f>LEFT(B20,1)&amp;MID(B20,FIND(" ",B20)+1,1)</f>
        <v>RL</v>
      </c>
      <c r="D20" s="76" t="str">
        <f>UPPER(LEFT(B20,1)&amp;LEFT(MID(B20,FIND(" ",B20)+1,20),3))&amp;"-"&amp;RIGHT(A20,3)</f>
        <v>RLEE-015</v>
      </c>
      <c r="E20" s="55" t="str">
        <f>UPPER(MID(B20,FIND(" ",B20)+1,20))&amp;", "&amp;LEFT(B20,FIND(" ",B20)-1)</f>
        <v>LEE, Richard</v>
      </c>
      <c r="F20" s="76">
        <f>LEN(B20)</f>
        <v>11</v>
      </c>
      <c r="H20" s="102" t="s">
        <v>649</v>
      </c>
      <c r="I20" s="102" t="s">
        <v>650</v>
      </c>
      <c r="J20" s="102" t="s">
        <v>651</v>
      </c>
      <c r="K20" s="102" t="s">
        <v>652</v>
      </c>
      <c r="L20" s="102" t="s">
        <v>653</v>
      </c>
      <c r="N20" s="53" t="s">
        <v>654</v>
      </c>
      <c r="O20" s="76">
        <v>34</v>
      </c>
    </row>
    <row r="21" spans="1:15" s="1" customFormat="1" ht="26.4">
      <c r="A21" s="55" t="s">
        <v>244</v>
      </c>
      <c r="B21" s="55" t="s">
        <v>245</v>
      </c>
      <c r="C21" s="76" t="str">
        <f>LEFT(B21,1)&amp;MID(B21,FIND(" ",B21)+1,1)</f>
        <v>EH</v>
      </c>
      <c r="D21" s="76" t="str">
        <f>UPPER(LEFT(B21,1)&amp;LEFT(MID(B21,FIND(" ",B21)+1,20),3))&amp;"-"&amp;RIGHT(A21,3)</f>
        <v>EHAL-016</v>
      </c>
      <c r="E21" s="55" t="str">
        <f>UPPER(MID(B21,FIND(" ",B21)+1,20))&amp;", "&amp;LEFT(B21,FIND(" ",B21)-1)</f>
        <v>HALL, Elizabeth</v>
      </c>
      <c r="F21" s="76">
        <f>LEN(B21)</f>
        <v>14</v>
      </c>
      <c r="H21" s="107" t="s">
        <v>166</v>
      </c>
      <c r="I21" s="107" t="s">
        <v>420</v>
      </c>
      <c r="J21" s="55" t="s">
        <v>166</v>
      </c>
      <c r="K21" s="76">
        <f>IF(J21="","",COUNT($K$20:K20)+1)</f>
        <v>1</v>
      </c>
      <c r="L21" s="55" t="s">
        <v>166</v>
      </c>
      <c r="N21" s="53" t="s">
        <v>655</v>
      </c>
      <c r="O21" s="76">
        <v>10</v>
      </c>
    </row>
    <row r="22" spans="1:15" s="1" customFormat="1" ht="26.4">
      <c r="A22" s="55" t="s">
        <v>92</v>
      </c>
      <c r="B22" s="55" t="s">
        <v>93</v>
      </c>
      <c r="C22" s="76" t="str">
        <f>LEFT(B22,1)&amp;MID(B22,FIND(" ",B22)+1,1)</f>
        <v>CA</v>
      </c>
      <c r="D22" s="76" t="str">
        <f>UPPER(LEFT(B22,1)&amp;LEFT(MID(B22,FIND(" ",B22)+1,20),3))&amp;"-"&amp;RIGHT(A22,3)</f>
        <v>CALL-017</v>
      </c>
      <c r="E22" s="55" t="str">
        <f>UPPER(MID(B22,FIND(" ",B22)+1,20))&amp;", "&amp;LEFT(B22,FIND(" ",B22)-1)</f>
        <v>ALLEN, Charles</v>
      </c>
      <c r="F22" s="76">
        <f>LEN(B22)</f>
        <v>13</v>
      </c>
      <c r="H22" s="107" t="s">
        <v>80</v>
      </c>
      <c r="I22" s="107" t="s">
        <v>166</v>
      </c>
      <c r="J22" s="55" t="s">
        <v>80</v>
      </c>
      <c r="K22" s="76">
        <f>IF(J22="","",COUNT($K$20:K21)+1)</f>
        <v>2</v>
      </c>
      <c r="L22" s="55" t="s">
        <v>80</v>
      </c>
      <c r="N22" s="53" t="s">
        <v>656</v>
      </c>
      <c r="O22" s="76">
        <v>3</v>
      </c>
    </row>
    <row r="23" spans="1:15" s="1" customFormat="1" ht="26.4">
      <c r="A23" s="55" t="s">
        <v>132</v>
      </c>
      <c r="B23" s="55" t="s">
        <v>28</v>
      </c>
      <c r="C23" s="76" t="str">
        <f>LEFT(B23,1)&amp;MID(B23,FIND(" ",B23)+1,1)</f>
        <v>BY</v>
      </c>
      <c r="D23" s="76" t="str">
        <f>UPPER(LEFT(B23,1)&amp;LEFT(MID(B23,FIND(" ",B23)+1,20),3))&amp;"-"&amp;RIGHT(A23,3)</f>
        <v>BYOU-018</v>
      </c>
      <c r="E23" s="55" t="str">
        <f>UPPER(MID(B23,FIND(" ",B23)+1,20))&amp;", "&amp;LEFT(B23,FIND(" ",B23)-1)</f>
        <v>YOUNG, Barbara</v>
      </c>
      <c r="F23" s="76">
        <f>LEN(B23)</f>
        <v>13</v>
      </c>
      <c r="H23" s="107" t="s">
        <v>188</v>
      </c>
      <c r="I23" s="107" t="s">
        <v>80</v>
      </c>
      <c r="J23" s="55" t="s">
        <v>188</v>
      </c>
      <c r="K23" s="76">
        <f>IF(J23="","",COUNT($K$20:K22)+1)</f>
        <v>3</v>
      </c>
      <c r="L23" s="55" t="s">
        <v>188</v>
      </c>
    </row>
    <row r="24" spans="1:15" s="1" customFormat="1" ht="39.6">
      <c r="A24" s="55" t="s">
        <v>180</v>
      </c>
      <c r="B24" s="55" t="s">
        <v>181</v>
      </c>
      <c r="C24" s="76" t="str">
        <f>LEFT(B24,1)&amp;MID(B24,FIND(" ",B24)+1,1)</f>
        <v>DK</v>
      </c>
      <c r="D24" s="76" t="str">
        <f>UPPER(LEFT(B24,1)&amp;LEFT(MID(B24,FIND(" ",B24)+1,20),3))&amp;"-"&amp;RIGHT(A24,3)</f>
        <v>DKIN-019</v>
      </c>
      <c r="E24" s="55" t="str">
        <f>UPPER(MID(B24,FIND(" ",B24)+1,20))&amp;", "&amp;LEFT(B24,FIND(" ",B24)-1)</f>
        <v>KING, Daniel</v>
      </c>
      <c r="F24" s="76">
        <f>LEN(B24)</f>
        <v>11</v>
      </c>
      <c r="H24" s="107" t="s">
        <v>163</v>
      </c>
      <c r="I24" s="107" t="s">
        <v>188</v>
      </c>
      <c r="J24" s="55" t="s">
        <v>163</v>
      </c>
      <c r="K24" s="76">
        <f>IF(J24="","",COUNT($K$20:K23)+1)</f>
        <v>4</v>
      </c>
      <c r="L24" s="55" t="s">
        <v>163</v>
      </c>
      <c r="N24" s="108"/>
    </row>
    <row r="25" spans="1:15" s="1" customFormat="1" ht="39.6">
      <c r="A25" s="55" t="s">
        <v>218</v>
      </c>
      <c r="B25" s="55" t="s">
        <v>219</v>
      </c>
      <c r="C25" s="76" t="str">
        <f>LEFT(B25,1)&amp;MID(B25,FIND(" ",B25)+1,1)</f>
        <v>MW</v>
      </c>
      <c r="D25" s="76" t="str">
        <f>UPPER(LEFT(B25,1)&amp;LEFT(MID(B25,FIND(" ",B25)+1,20),3))&amp;"-"&amp;RIGHT(A25,3)</f>
        <v>MWRI-020</v>
      </c>
      <c r="E25" s="55" t="str">
        <f>UPPER(MID(B25,FIND(" ",B25)+1,20))&amp;", "&amp;LEFT(B25,FIND(" ",B25)-1)</f>
        <v>WRIGHT, Margaret</v>
      </c>
      <c r="F25" s="76">
        <f>LEN(B25)</f>
        <v>15</v>
      </c>
      <c r="H25" s="107" t="s">
        <v>216</v>
      </c>
      <c r="I25" s="107" t="s">
        <v>163</v>
      </c>
      <c r="J25" s="55" t="s">
        <v>216</v>
      </c>
      <c r="K25" s="76">
        <f>IF(J25="","",COUNT($K$20:K24)+1)</f>
        <v>5</v>
      </c>
      <c r="L25" s="55" t="s">
        <v>216</v>
      </c>
    </row>
    <row r="26" spans="1:15" s="1" customFormat="1" ht="26.4">
      <c r="A26" s="55" t="s">
        <v>66</v>
      </c>
      <c r="B26" s="55" t="s">
        <v>67</v>
      </c>
      <c r="C26" s="76" t="str">
        <f>LEFT(B26,1)&amp;MID(B26,FIND(" ",B26)+1,1)</f>
        <v>KS</v>
      </c>
      <c r="D26" s="76" t="str">
        <f>UPPER(LEFT(B26,1)&amp;LEFT(MID(B26,FIND(" ",B26)+1,20),3))&amp;"-"&amp;RIGHT(A26,3)</f>
        <v>KSCO-021</v>
      </c>
      <c r="E26" s="55" t="str">
        <f>UPPER(MID(B26,FIND(" ",B26)+1,20))&amp;", "&amp;LEFT(B26,FIND(" ",B26)-1)</f>
        <v>SCOTT, Kevin</v>
      </c>
      <c r="F26" s="76">
        <f>LEN(B26)</f>
        <v>11</v>
      </c>
      <c r="H26" s="107" t="s">
        <v>175</v>
      </c>
      <c r="I26" s="107" t="s">
        <v>216</v>
      </c>
      <c r="J26" s="55" t="s">
        <v>175</v>
      </c>
      <c r="K26" s="76">
        <f>IF(J26="","",COUNT($K$20:K25)+1)</f>
        <v>6</v>
      </c>
      <c r="L26" s="55" t="s">
        <v>175</v>
      </c>
    </row>
    <row r="27" spans="1:15" s="1" customFormat="1" ht="26.4">
      <c r="A27" s="55" t="s">
        <v>105</v>
      </c>
      <c r="B27" s="55" t="s">
        <v>106</v>
      </c>
      <c r="C27" s="76" t="str">
        <f>LEFT(B27,1)&amp;MID(B27,FIND(" ",B27)+1,1)</f>
        <v>SG</v>
      </c>
      <c r="D27" s="76" t="str">
        <f>UPPER(LEFT(B27,1)&amp;LEFT(MID(B27,FIND(" ",B27)+1,20),3))&amp;"-"&amp;RIGHT(A27,3)</f>
        <v>SGRE-022</v>
      </c>
      <c r="E27" s="55" t="str">
        <f>UPPER(MID(B27,FIND(" ",B27)+1,20))&amp;", "&amp;LEFT(B27,FIND(" ",B27)-1)</f>
        <v>GREEN, Susan</v>
      </c>
      <c r="F27" s="76">
        <f>LEN(B27)</f>
        <v>11</v>
      </c>
      <c r="H27" s="107" t="s">
        <v>97</v>
      </c>
      <c r="I27" s="107" t="s">
        <v>175</v>
      </c>
      <c r="J27" s="55" t="s">
        <v>97</v>
      </c>
      <c r="K27" s="76">
        <f>IF(J27="","",COUNT($K$20:K26)+1)</f>
        <v>7</v>
      </c>
      <c r="L27" s="55" t="s">
        <v>97</v>
      </c>
    </row>
    <row r="28" spans="1:15" s="1" customFormat="1" ht="26.4">
      <c r="A28" s="55" t="s">
        <v>53</v>
      </c>
      <c r="B28" s="55" t="s">
        <v>32</v>
      </c>
      <c r="C28" s="76" t="str">
        <f>LEFT(B28,1)&amp;MID(B28,FIND(" ",B28)+1,1)</f>
        <v>PB</v>
      </c>
      <c r="D28" s="76" t="str">
        <f>UPPER(LEFT(B28,1)&amp;LEFT(MID(B28,FIND(" ",B28)+1,20),3))&amp;"-"&amp;RIGHT(A28,3)</f>
        <v>PBAK-023</v>
      </c>
      <c r="E28" s="55" t="str">
        <f>UPPER(MID(B28,FIND(" ",B28)+1,20))&amp;", "&amp;LEFT(B28,FIND(" ",B28)-1)</f>
        <v>BAKER, Paul</v>
      </c>
      <c r="F28" s="76">
        <f>LEN(B28)</f>
        <v>10</v>
      </c>
      <c r="H28" s="107" t="s">
        <v>126</v>
      </c>
      <c r="I28" s="107" t="s">
        <v>97</v>
      </c>
      <c r="J28" s="55" t="s">
        <v>126</v>
      </c>
      <c r="K28" s="76">
        <f>IF(J28="","",COUNT($K$20:K27)+1)</f>
        <v>8</v>
      </c>
      <c r="L28" s="55" t="s">
        <v>126</v>
      </c>
    </row>
    <row r="29" spans="1:15" s="1" customFormat="1" ht="26.4">
      <c r="A29" s="55" t="s">
        <v>85</v>
      </c>
      <c r="B29" s="55" t="s">
        <v>86</v>
      </c>
      <c r="C29" s="76" t="str">
        <f>LEFT(B29,1)&amp;MID(B29,FIND(" ",B29)+1,1)</f>
        <v>DN</v>
      </c>
      <c r="D29" s="76" t="str">
        <f>UPPER(LEFT(B29,1)&amp;LEFT(MID(B29,FIND(" ",B29)+1,20),3))&amp;"-"&amp;RIGHT(A29,3)</f>
        <v>DNEL-024</v>
      </c>
      <c r="E29" s="55" t="str">
        <f>UPPER(MID(B29,FIND(" ",B29)+1,20))&amp;", "&amp;LEFT(B29,FIND(" ",B29)-1)</f>
        <v>NELSON, Dorothy</v>
      </c>
      <c r="F29" s="76">
        <f>LEN(B29)</f>
        <v>14</v>
      </c>
      <c r="H29" s="107" t="s">
        <v>286</v>
      </c>
      <c r="I29" s="107" t="s">
        <v>126</v>
      </c>
      <c r="J29" s="55" t="s">
        <v>436</v>
      </c>
      <c r="K29" s="76" t="str">
        <f>IF(J29="","",COUNT($K$20:K28)+1)</f>
        <v/>
      </c>
      <c r="L29" s="55" t="s">
        <v>30</v>
      </c>
    </row>
    <row r="30" spans="1:15" s="1" customFormat="1" ht="26.4">
      <c r="A30" s="55" t="s">
        <v>123</v>
      </c>
      <c r="B30" s="55" t="s">
        <v>24</v>
      </c>
      <c r="C30" s="76" t="str">
        <f>LEFT(B30,1)&amp;MID(B30,FIND(" ",B30)+1,1)</f>
        <v>MC</v>
      </c>
      <c r="D30" s="76" t="str">
        <f>UPPER(LEFT(B30,1)&amp;LEFT(MID(B30,FIND(" ",B30)+1,20),3))&amp;"-"&amp;RIGHT(A30,3)</f>
        <v>MCAR-025</v>
      </c>
      <c r="E30" s="55" t="str">
        <f>UPPER(MID(B30,FIND(" ",B30)+1,20))&amp;", "&amp;LEFT(B30,FIND(" ",B30)-1)</f>
        <v>CARTER, Mark</v>
      </c>
      <c r="F30" s="76">
        <f>LEN(B30)</f>
        <v>11</v>
      </c>
      <c r="H30" s="107" t="s">
        <v>30</v>
      </c>
      <c r="I30" s="107" t="s">
        <v>30</v>
      </c>
      <c r="J30" s="55" t="s">
        <v>30</v>
      </c>
      <c r="K30" s="76">
        <f>IF(J30="","",COUNT($K$20:K29)+1)</f>
        <v>9</v>
      </c>
      <c r="L30" s="55" t="s">
        <v>147</v>
      </c>
    </row>
    <row r="31" spans="1:15" s="1" customFormat="1" ht="26.4">
      <c r="A31" s="55" t="s">
        <v>102</v>
      </c>
      <c r="B31" s="55" t="s">
        <v>103</v>
      </c>
      <c r="C31" s="76" t="str">
        <f>LEFT(B31,1)&amp;MID(B31,FIND(" ",B31)+1,1)</f>
        <v>KH</v>
      </c>
      <c r="D31" s="76" t="str">
        <f>UPPER(LEFT(B31,1)&amp;LEFT(MID(B31,FIND(" ",B31)+1,20),3))&amp;"-"&amp;RIGHT(A31,3)</f>
        <v>KHIL-026</v>
      </c>
      <c r="E31" s="55" t="str">
        <f>UPPER(MID(B31,FIND(" ",B31)+1,20))&amp;", "&amp;LEFT(B31,FIND(" ",B31)-1)</f>
        <v>HILL, Karen</v>
      </c>
      <c r="F31" s="76">
        <f>LEN(B31)</f>
        <v>10</v>
      </c>
      <c r="H31" s="107" t="s">
        <v>62</v>
      </c>
      <c r="I31" s="107" t="s">
        <v>147</v>
      </c>
      <c r="J31" s="55" t="s">
        <v>436</v>
      </c>
      <c r="K31" s="76" t="str">
        <f>IF(J31="","",COUNT($K$20:K30)+1)</f>
        <v/>
      </c>
      <c r="L31" s="55" t="s">
        <v>245</v>
      </c>
    </row>
    <row r="32" spans="1:15" s="1" customFormat="1" ht="26.4">
      <c r="A32" s="55" t="s">
        <v>120</v>
      </c>
      <c r="B32" s="55" t="s">
        <v>121</v>
      </c>
      <c r="C32" s="76" t="str">
        <f>LEFT(B32,1)&amp;MID(B32,FIND(" ",B32)+1,1)</f>
        <v>GA</v>
      </c>
      <c r="D32" s="76" t="str">
        <f>UPPER(LEFT(B32,1)&amp;LEFT(MID(B32,FIND(" ",B32)+1,20),3))&amp;"-"&amp;RIGHT(A32,3)</f>
        <v>GADA-027</v>
      </c>
      <c r="E32" s="55" t="str">
        <f>UPPER(MID(B32,FIND(" ",B32)+1,20))&amp;", "&amp;LEFT(B32,FIND(" ",B32)-1)</f>
        <v>ADAMS, George</v>
      </c>
      <c r="F32" s="76">
        <f>LEN(B32)</f>
        <v>12</v>
      </c>
      <c r="H32" s="107" t="s">
        <v>147</v>
      </c>
      <c r="I32" s="107" t="s">
        <v>293</v>
      </c>
      <c r="J32" s="55" t="s">
        <v>147</v>
      </c>
      <c r="K32" s="76">
        <f>IF(J32="","",COUNT($K$20:K31)+1)</f>
        <v>10</v>
      </c>
      <c r="L32" s="55" t="s">
        <v>93</v>
      </c>
    </row>
    <row r="33" spans="1:12" s="1" customFormat="1" ht="26.4">
      <c r="A33" s="55" t="s">
        <v>191</v>
      </c>
      <c r="B33" s="55" t="s">
        <v>192</v>
      </c>
      <c r="C33" s="76" t="str">
        <f>LEFT(B33,1)&amp;MID(B33,FIND(" ",B33)+1,1)</f>
        <v>BC</v>
      </c>
      <c r="D33" s="76" t="str">
        <f>UPPER(LEFT(B33,1)&amp;LEFT(MID(B33,FIND(" ",B33)+1,20),3))&amp;"-"&amp;RIGHT(A33,3)</f>
        <v>BCAM-028</v>
      </c>
      <c r="E33" s="55" t="str">
        <f>UPPER(MID(B33,FIND(" ",B33)+1,20))&amp;", "&amp;LEFT(B33,FIND(" ",B33)-1)</f>
        <v>CAMPBELL, Betty</v>
      </c>
      <c r="F33" s="76">
        <f>LEN(B33)</f>
        <v>14</v>
      </c>
      <c r="H33" s="107" t="s">
        <v>245</v>
      </c>
      <c r="I33" s="107" t="s">
        <v>245</v>
      </c>
      <c r="J33" s="55" t="s">
        <v>245</v>
      </c>
      <c r="K33" s="76">
        <f>IF(J33="","",COUNT($K$20:K32)+1)</f>
        <v>11</v>
      </c>
      <c r="L33" s="55" t="s">
        <v>181</v>
      </c>
    </row>
    <row r="34" spans="1:12" s="1" customFormat="1" ht="26.4">
      <c r="A34" s="55" t="s">
        <v>157</v>
      </c>
      <c r="B34" s="55" t="s">
        <v>26</v>
      </c>
      <c r="C34" s="76" t="str">
        <f>LEFT(B34,1)&amp;MID(B34,FIND(" ",B34)+1,1)</f>
        <v>EM</v>
      </c>
      <c r="D34" s="76" t="str">
        <f>UPPER(LEFT(B34,1)&amp;LEFT(MID(B34,FIND(" ",B34)+1,20),3))&amp;"-"&amp;RIGHT(A34,3)</f>
        <v>EMIT-029</v>
      </c>
      <c r="E34" s="55" t="str">
        <f>UPPER(MID(B34,FIND(" ",B34)+1,20))&amp;", "&amp;LEFT(B34,FIND(" ",B34)-1)</f>
        <v>MITCHELL, Edward</v>
      </c>
      <c r="F34" s="76">
        <f>LEN(B34)</f>
        <v>15</v>
      </c>
      <c r="H34" s="107" t="s">
        <v>93</v>
      </c>
      <c r="I34" s="107" t="s">
        <v>93</v>
      </c>
      <c r="J34" s="55" t="s">
        <v>93</v>
      </c>
      <c r="K34" s="76">
        <f>IF(J34="","",COUNT($K$20:K33)+1)</f>
        <v>12</v>
      </c>
      <c r="L34" s="55" t="s">
        <v>219</v>
      </c>
    </row>
    <row r="35" spans="1:12" s="1" customFormat="1" ht="26.4">
      <c r="A35" s="55" t="s">
        <v>154</v>
      </c>
      <c r="B35" s="55" t="s">
        <v>155</v>
      </c>
      <c r="C35" s="76" t="str">
        <f>LEFT(B35,1)&amp;MID(B35,FIND(" ",B35)+1,1)</f>
        <v>HR</v>
      </c>
      <c r="D35" s="76" t="str">
        <f>UPPER(LEFT(B35,1)&amp;LEFT(MID(B35,FIND(" ",B35)+1,20),3))&amp;"-"&amp;RIGHT(A35,3)</f>
        <v>HROB-030</v>
      </c>
      <c r="E35" s="55" t="str">
        <f>UPPER(MID(B35,FIND(" ",B35)+1,20))&amp;", "&amp;LEFT(B35,FIND(" ",B35)-1)</f>
        <v>ROBERTS, Helen</v>
      </c>
      <c r="F35" s="76">
        <f>LEN(B35)</f>
        <v>13</v>
      </c>
      <c r="H35" s="107" t="s">
        <v>28</v>
      </c>
      <c r="I35" s="107" t="s">
        <v>181</v>
      </c>
      <c r="J35" s="55" t="s">
        <v>436</v>
      </c>
      <c r="K35" s="76" t="str">
        <f>IF(J35="","",COUNT($K$20:K34)+1)</f>
        <v/>
      </c>
      <c r="L35" s="55" t="s">
        <v>67</v>
      </c>
    </row>
    <row r="36" spans="1:12" s="1" customFormat="1" ht="26.4">
      <c r="A36" s="55" t="s">
        <v>171</v>
      </c>
      <c r="B36" s="55" t="s">
        <v>172</v>
      </c>
      <c r="C36" s="76" t="str">
        <f>LEFT(B36,1)&amp;MID(B36,FIND(" ",B36)+1,1)</f>
        <v>ST</v>
      </c>
      <c r="D36" s="76" t="str">
        <f>UPPER(LEFT(B36,1)&amp;LEFT(MID(B36,FIND(" ",B36)+1,20),3))&amp;"-"&amp;RIGHT(A36,3)</f>
        <v>STUR-031</v>
      </c>
      <c r="E36" s="55" t="str">
        <f>UPPER(MID(B36,FIND(" ",B36)+1,20))&amp;", "&amp;LEFT(B36,FIND(" ",B36)-1)</f>
        <v>TURNER, Steven</v>
      </c>
      <c r="F36" s="76">
        <f>LEN(B36)</f>
        <v>13</v>
      </c>
      <c r="H36" s="107" t="s">
        <v>181</v>
      </c>
      <c r="I36" s="107" t="s">
        <v>219</v>
      </c>
      <c r="J36" s="55" t="s">
        <v>181</v>
      </c>
      <c r="K36" s="76">
        <f>IF(J36="","",COUNT($K$20:K35)+1)</f>
        <v>13</v>
      </c>
      <c r="L36" s="55" t="s">
        <v>106</v>
      </c>
    </row>
    <row r="37" spans="1:12" s="1" customFormat="1" ht="26.4">
      <c r="A37" s="55" t="s">
        <v>267</v>
      </c>
      <c r="B37" s="55" t="s">
        <v>268</v>
      </c>
      <c r="C37" s="76" t="str">
        <f>LEFT(B37,1)&amp;MID(B37,FIND(" ",B37)+1,1)</f>
        <v>SP</v>
      </c>
      <c r="D37" s="76" t="str">
        <f>UPPER(LEFT(B37,1)&amp;LEFT(MID(B37,FIND(" ",B37)+1,20),3))&amp;"-"&amp;RIGHT(A37,3)</f>
        <v>SPHI-032</v>
      </c>
      <c r="E37" s="55" t="str">
        <f>UPPER(MID(B37,FIND(" ",B37)+1,20))&amp;", "&amp;LEFT(B37,FIND(" ",B37)-1)</f>
        <v>PHILLIPS, Sandra</v>
      </c>
      <c r="F37" s="76">
        <f>LEN(B37)</f>
        <v>15</v>
      </c>
      <c r="H37" s="107" t="s">
        <v>219</v>
      </c>
      <c r="I37" s="107" t="s">
        <v>67</v>
      </c>
      <c r="J37" s="55" t="s">
        <v>219</v>
      </c>
      <c r="K37" s="76">
        <f>IF(J37="","",COUNT($K$20:K36)+1)</f>
        <v>14</v>
      </c>
      <c r="L37" s="55" t="s">
        <v>32</v>
      </c>
    </row>
    <row r="38" spans="1:12" s="1" customFormat="1" ht="26.4">
      <c r="A38" s="55" t="s">
        <v>225</v>
      </c>
      <c r="B38" s="55" t="s">
        <v>226</v>
      </c>
      <c r="C38" s="76" t="str">
        <f>LEFT(B38,1)&amp;MID(B38,FIND(" ",B38)+1,1)</f>
        <v>FT</v>
      </c>
      <c r="D38" s="76" t="str">
        <f>UPPER(LEFT(B38,1)&amp;LEFT(MID(B38,FIND(" ",B38)+1,20),3))&amp;"-"&amp;RIGHT(A38,3)</f>
        <v>FTOR-033</v>
      </c>
      <c r="E38" s="55" t="str">
        <f>UPPER(MID(B38,FIND(" ",B38)+1,20))&amp;", "&amp;LEFT(B38,FIND(" ",B38)-1)</f>
        <v>TORRES, Frank</v>
      </c>
      <c r="F38" s="76">
        <f>LEN(B38)</f>
        <v>12</v>
      </c>
      <c r="H38" s="107" t="s">
        <v>67</v>
      </c>
      <c r="I38" s="107" t="s">
        <v>106</v>
      </c>
      <c r="J38" s="55" t="s">
        <v>67</v>
      </c>
      <c r="K38" s="76">
        <f>IF(J38="","",COUNT($K$20:K37)+1)</f>
        <v>15</v>
      </c>
      <c r="L38" s="55" t="s">
        <v>86</v>
      </c>
    </row>
    <row r="39" spans="1:12" s="1" customFormat="1" ht="26.4">
      <c r="A39" s="55" t="s">
        <v>264</v>
      </c>
      <c r="B39" s="55" t="s">
        <v>265</v>
      </c>
      <c r="C39" s="76" t="str">
        <f>LEFT(B39,1)&amp;MID(B39,FIND(" ",B39)+1,1)</f>
        <v>CE</v>
      </c>
      <c r="D39" s="76" t="str">
        <f>UPPER(LEFT(B39,1)&amp;LEFT(MID(B39,FIND(" ",B39)+1,20),3))&amp;"-"&amp;RIGHT(A39,3)</f>
        <v>CEVA-034</v>
      </c>
      <c r="E39" s="55" t="str">
        <f>UPPER(MID(B39,FIND(" ",B39)+1,20))&amp;", "&amp;LEFT(B39,FIND(" ",B39)-1)</f>
        <v>EVANS, Carol</v>
      </c>
      <c r="F39" s="76">
        <f>LEN(B39)</f>
        <v>11</v>
      </c>
      <c r="H39" s="107" t="s">
        <v>106</v>
      </c>
      <c r="I39" s="107" t="s">
        <v>32</v>
      </c>
      <c r="J39" s="55" t="s">
        <v>106</v>
      </c>
      <c r="K39" s="76">
        <f>IF(J39="","",COUNT($K$20:K38)+1)</f>
        <v>16</v>
      </c>
      <c r="L39" s="55" t="s">
        <v>24</v>
      </c>
    </row>
    <row r="40" spans="1:12" s="1" customFormat="1" ht="26.4">
      <c r="A40" s="55" t="s">
        <v>177</v>
      </c>
      <c r="B40" s="55" t="s">
        <v>178</v>
      </c>
      <c r="C40" s="76" t="str">
        <f>LEFT(B40,1)&amp;MID(B40,FIND(" ",B40)+1,1)</f>
        <v>HM</v>
      </c>
      <c r="D40" s="76" t="str">
        <f>UPPER(LEFT(B40,1)&amp;LEFT(MID(B40,FIND(" ",B40)+1,20),3))&amp;"-"&amp;RIGHT(A40,3)</f>
        <v>HMOR-035</v>
      </c>
      <c r="E40" s="55" t="str">
        <f>UPPER(MID(B40,FIND(" ",B40)+1,20))&amp;", "&amp;LEFT(B40,FIND(" ",B40)-1)</f>
        <v>MORGAN, Harry</v>
      </c>
      <c r="F40" s="76">
        <f>LEN(B40)</f>
        <v>12</v>
      </c>
      <c r="H40" s="107" t="s">
        <v>32</v>
      </c>
      <c r="I40" s="107" t="s">
        <v>86</v>
      </c>
      <c r="J40" s="55" t="s">
        <v>32</v>
      </c>
      <c r="K40" s="76">
        <f>IF(J40="","",COUNT($K$20:K39)+1)</f>
        <v>17</v>
      </c>
      <c r="L40" s="55" t="s">
        <v>103</v>
      </c>
    </row>
    <row r="41" spans="1:12" s="1" customFormat="1" ht="26.4">
      <c r="A41" s="55" t="s">
        <v>142</v>
      </c>
      <c r="B41" s="55" t="s">
        <v>143</v>
      </c>
      <c r="C41" s="76" t="str">
        <f>LEFT(B41,1)&amp;MID(B41,FIND(" ",B41)+1,1)</f>
        <v>NC</v>
      </c>
      <c r="D41" s="76" t="str">
        <f>UPPER(LEFT(B41,1)&amp;LEFT(MID(B41,FIND(" ",B41)+1,20),3))&amp;"-"&amp;RIGHT(A41,3)</f>
        <v>NCOL-036</v>
      </c>
      <c r="E41" s="55" t="str">
        <f>UPPER(MID(B41,FIND(" ",B41)+1,20))&amp;", "&amp;LEFT(B41,FIND(" ",B41)-1)</f>
        <v>COLLINS, Nancy</v>
      </c>
      <c r="F41" s="76">
        <f>LEN(B41)</f>
        <v>13</v>
      </c>
      <c r="H41" s="107" t="s">
        <v>86</v>
      </c>
      <c r="I41" s="107" t="s">
        <v>24</v>
      </c>
      <c r="J41" s="55" t="s">
        <v>86</v>
      </c>
      <c r="K41" s="76">
        <f>IF(J41="","",COUNT($K$20:K40)+1)</f>
        <v>18</v>
      </c>
      <c r="L41" s="55" t="s">
        <v>192</v>
      </c>
    </row>
    <row r="42" spans="1:12" s="1" customFormat="1" ht="26.4">
      <c r="A42" s="55" t="s">
        <v>358</v>
      </c>
      <c r="B42" s="55" t="s">
        <v>359</v>
      </c>
      <c r="C42" s="76" t="str">
        <f>LEFT(B42,1)&amp;MID(B42,FIND(" ",B42)+1,1)</f>
        <v>AE</v>
      </c>
      <c r="D42" s="76" t="str">
        <f>UPPER(LEFT(B42,1)&amp;LEFT(MID(B42,FIND(" ",B42)+1,20),3))&amp;"-"&amp;RIGHT(A42,3)</f>
        <v>AEDW-037</v>
      </c>
      <c r="E42" s="55" t="str">
        <f>UPPER(MID(B42,FIND(" ",B42)+1,20))&amp;", "&amp;LEFT(B42,FIND(" ",B42)-1)</f>
        <v>EDWARDS, Arthur</v>
      </c>
      <c r="F42" s="76">
        <f>LEN(B42)</f>
        <v>14</v>
      </c>
      <c r="H42" s="107" t="s">
        <v>24</v>
      </c>
      <c r="I42" s="107" t="s">
        <v>103</v>
      </c>
      <c r="J42" s="55" t="s">
        <v>24</v>
      </c>
      <c r="K42" s="76">
        <f>IF(J42="","",COUNT($K$20:K41)+1)</f>
        <v>19</v>
      </c>
      <c r="L42" s="55" t="s">
        <v>26</v>
      </c>
    </row>
    <row r="43" spans="1:12" s="1" customFormat="1" ht="39.6">
      <c r="A43" s="55" t="s">
        <v>115</v>
      </c>
      <c r="B43" s="55" t="s">
        <v>116</v>
      </c>
      <c r="C43" s="76" t="str">
        <f>LEFT(B43,1)&amp;MID(B43,FIND(" ",B43)+1,1)</f>
        <v>MR</v>
      </c>
      <c r="D43" s="76" t="str">
        <f>UPPER(LEFT(B43,1)&amp;LEFT(MID(B43,FIND(" ",B43)+1,20),3))&amp;"-"&amp;RIGHT(A43,3)</f>
        <v>MROG-038</v>
      </c>
      <c r="E43" s="55" t="str">
        <f>UPPER(MID(B43,FIND(" ",B43)+1,20))&amp;", "&amp;LEFT(B43,FIND(" ",B43)-1)</f>
        <v>ROGERS, Michelle</v>
      </c>
      <c r="F43" s="76">
        <f>LEN(B43)</f>
        <v>15</v>
      </c>
      <c r="H43" s="107" t="s">
        <v>103</v>
      </c>
      <c r="I43" s="107" t="s">
        <v>192</v>
      </c>
      <c r="J43" s="55" t="s">
        <v>103</v>
      </c>
      <c r="K43" s="76">
        <f>IF(J43="","",COUNT($K$20:K42)+1)</f>
        <v>20</v>
      </c>
      <c r="L43" s="55" t="s">
        <v>155</v>
      </c>
    </row>
    <row r="44" spans="1:12" s="1" customFormat="1" ht="26.4">
      <c r="A44" s="55" t="s">
        <v>259</v>
      </c>
      <c r="B44" s="55" t="s">
        <v>260</v>
      </c>
      <c r="C44" s="76" t="str">
        <f>LEFT(B44,1)&amp;MID(B44,FIND(" ",B44)+1,1)</f>
        <v>LR</v>
      </c>
      <c r="D44" s="76" t="str">
        <f>UPPER(LEFT(B44,1)&amp;LEFT(MID(B44,FIND(" ",B44)+1,20),3))&amp;"-"&amp;RIGHT(A44,3)</f>
        <v>LREE-039</v>
      </c>
      <c r="E44" s="55" t="str">
        <f>UPPER(MID(B44,FIND(" ",B44)+1,20))&amp;", "&amp;LEFT(B44,FIND(" ",B44)-1)</f>
        <v>REED, Lawrence</v>
      </c>
      <c r="F44" s="76">
        <f>LEN(B44)</f>
        <v>13</v>
      </c>
      <c r="H44" s="107" t="s">
        <v>121</v>
      </c>
      <c r="I44" s="107" t="s">
        <v>26</v>
      </c>
      <c r="J44" s="55" t="s">
        <v>436</v>
      </c>
      <c r="K44" s="76" t="str">
        <f>IF(J44="","",COUNT($K$20:K43)+1)</f>
        <v/>
      </c>
      <c r="L44" s="55" t="s">
        <v>172</v>
      </c>
    </row>
    <row r="45" spans="1:12" s="1" customFormat="1" ht="39.6">
      <c r="A45" s="55" t="s">
        <v>183</v>
      </c>
      <c r="B45" s="55" t="s">
        <v>184</v>
      </c>
      <c r="C45" s="76" t="str">
        <f>LEFT(B45,1)&amp;MID(B45,FIND(" ",B45)+1,1)</f>
        <v>SB</v>
      </c>
      <c r="D45" s="76" t="str">
        <f>UPPER(LEFT(B45,1)&amp;LEFT(MID(B45,FIND(" ",B45)+1,20),3))&amp;"-"&amp;RIGHT(A45,3)</f>
        <v>SBUT-040</v>
      </c>
      <c r="E45" s="55" t="str">
        <f>UPPER(MID(B45,FIND(" ",B45)+1,20))&amp;", "&amp;LEFT(B45,FIND(" ",B45)-1)</f>
        <v>BUTLER, Sharon</v>
      </c>
      <c r="F45" s="76">
        <f>LEN(B45)</f>
        <v>13</v>
      </c>
      <c r="H45" s="107" t="s">
        <v>192</v>
      </c>
      <c r="I45" s="107" t="s">
        <v>155</v>
      </c>
      <c r="J45" s="55" t="s">
        <v>192</v>
      </c>
      <c r="K45" s="76">
        <f>IF(J45="","",COUNT($K$20:K44)+1)</f>
        <v>21</v>
      </c>
      <c r="L45" s="55" t="s">
        <v>268</v>
      </c>
    </row>
    <row r="46" spans="1:12" s="1" customFormat="1" ht="26.4">
      <c r="A46" s="55" t="s">
        <v>109</v>
      </c>
      <c r="B46" s="55" t="s">
        <v>110</v>
      </c>
      <c r="C46" s="76" t="str">
        <f>LEFT(B46,1)&amp;MID(B46,FIND(" ",B46)+1,1)</f>
        <v>PR</v>
      </c>
      <c r="D46" s="76" t="str">
        <f>UPPER(LEFT(B46,1)&amp;LEFT(MID(B46,FIND(" ",B46)+1,20),3))&amp;"-"&amp;RIGHT(A46,3)</f>
        <v>PRIC-041</v>
      </c>
      <c r="E46" s="55" t="str">
        <f>UPPER(MID(B46,FIND(" ",B46)+1,20))&amp;", "&amp;LEFT(B46,FIND(" ",B46)-1)</f>
        <v>RICHARDSON, Peter</v>
      </c>
      <c r="F46" s="76">
        <f>LEN(B46)</f>
        <v>16</v>
      </c>
      <c r="H46" s="107" t="s">
        <v>26</v>
      </c>
      <c r="I46" s="107" t="s">
        <v>172</v>
      </c>
      <c r="J46" s="55" t="s">
        <v>26</v>
      </c>
      <c r="K46" s="76">
        <f>IF(J46="","",COUNT($K$20:K45)+1)</f>
        <v>22</v>
      </c>
      <c r="L46" s="55" t="s">
        <v>265</v>
      </c>
    </row>
    <row r="47" spans="1:12" s="1" customFormat="1" ht="26.4">
      <c r="A47" s="55" t="s">
        <v>279</v>
      </c>
      <c r="B47" s="55" t="s">
        <v>280</v>
      </c>
      <c r="C47" s="76" t="str">
        <f>LEFT(B47,1)&amp;MID(B47,FIND(" ",B47)+1,1)</f>
        <v>RB</v>
      </c>
      <c r="D47" s="76" t="str">
        <f>UPPER(LEFT(B47,1)&amp;LEFT(MID(B47,FIND(" ",B47)+1,20),3))&amp;"-"&amp;RIGHT(A47,3)</f>
        <v>RBRO-042</v>
      </c>
      <c r="E47" s="55" t="str">
        <f>UPPER(MID(B47,FIND(" ",B47)+1,20))&amp;", "&amp;LEFT(B47,FIND(" ",B47)-1)</f>
        <v>BROOKS, Ruth</v>
      </c>
      <c r="F47" s="76">
        <f>LEN(B47)</f>
        <v>11</v>
      </c>
      <c r="H47" s="107" t="s">
        <v>155</v>
      </c>
      <c r="I47" s="107" t="s">
        <v>268</v>
      </c>
      <c r="J47" s="55" t="s">
        <v>155</v>
      </c>
      <c r="K47" s="76">
        <f>IF(J47="","",COUNT($K$20:K46)+1)</f>
        <v>23</v>
      </c>
      <c r="L47" s="55" t="s">
        <v>143</v>
      </c>
    </row>
    <row r="48" spans="1:12" s="1" customFormat="1" ht="26.4">
      <c r="A48" s="55" t="s">
        <v>112</v>
      </c>
      <c r="B48" s="55" t="s">
        <v>113</v>
      </c>
      <c r="C48" s="76" t="str">
        <f>LEFT(B48,1)&amp;MID(B48,FIND(" ",B48)+1,1)</f>
        <v>DG</v>
      </c>
      <c r="D48" s="76" t="str">
        <f>UPPER(LEFT(B48,1)&amp;LEFT(MID(B48,FIND(" ",B48)+1,20),3))&amp;"-"&amp;RIGHT(A48,3)</f>
        <v>DGRA-043</v>
      </c>
      <c r="E48" s="55" t="str">
        <f>UPPER(MID(B48,FIND(" ",B48)+1,20))&amp;", "&amp;LEFT(B48,FIND(" ",B48)-1)</f>
        <v>GRAY, Dennis</v>
      </c>
      <c r="F48" s="76">
        <f>LEN(B48)</f>
        <v>11</v>
      </c>
      <c r="H48" s="107" t="s">
        <v>172</v>
      </c>
      <c r="I48" s="107" t="s">
        <v>226</v>
      </c>
      <c r="J48" s="55" t="s">
        <v>172</v>
      </c>
      <c r="K48" s="76">
        <f>IF(J48="","",COUNT($K$20:K47)+1)</f>
        <v>24</v>
      </c>
      <c r="L48" s="55" t="s">
        <v>359</v>
      </c>
    </row>
    <row r="49" spans="1:12" s="1" customFormat="1" ht="26.4">
      <c r="A49" s="55" t="s">
        <v>136</v>
      </c>
      <c r="B49" s="55" t="s">
        <v>137</v>
      </c>
      <c r="C49" s="76" t="str">
        <f>LEFT(B49,1)&amp;MID(B49,FIND(" ",B49)+1,1)</f>
        <v>CP</v>
      </c>
      <c r="D49" s="76" t="str">
        <f>UPPER(LEFT(B49,1)&amp;LEFT(MID(B49,FIND(" ",B49)+1,20),3))&amp;"-"&amp;RIGHT(A49,3)</f>
        <v>CPRI-044</v>
      </c>
      <c r="E49" s="55" t="str">
        <f>UPPER(MID(B49,FIND(" ",B49)+1,20))&amp;", "&amp;LEFT(B49,FIND(" ",B49)-1)</f>
        <v>PRICE, Cynthia</v>
      </c>
      <c r="F49" s="76">
        <f>LEN(B49)</f>
        <v>13</v>
      </c>
      <c r="H49" s="107" t="s">
        <v>268</v>
      </c>
      <c r="I49" s="107" t="s">
        <v>265</v>
      </c>
      <c r="J49" s="55" t="s">
        <v>268</v>
      </c>
      <c r="K49" s="76">
        <f>IF(J49="","",COUNT($K$20:K48)+1)</f>
        <v>25</v>
      </c>
      <c r="L49" s="55" t="s">
        <v>260</v>
      </c>
    </row>
    <row r="50" spans="1:12" s="1" customFormat="1" ht="26.4">
      <c r="A50" s="55" t="s">
        <v>326</v>
      </c>
      <c r="B50" s="55" t="s">
        <v>327</v>
      </c>
      <c r="C50" s="76" t="str">
        <f>LEFT(B50,1)&amp;MID(B50,FIND(" ",B50)+1,1)</f>
        <v>DW</v>
      </c>
      <c r="D50" s="76" t="str">
        <f>UPPER(LEFT(B50,1)&amp;LEFT(MID(B50,FIND(" ",B50)+1,20),3))&amp;"-"&amp;RIGHT(A50,3)</f>
        <v>DWAT-045</v>
      </c>
      <c r="E50" s="55" t="str">
        <f>UPPER(MID(B50,FIND(" ",B50)+1,20))&amp;", "&amp;LEFT(B50,FIND(" ",B50)-1)</f>
        <v>WATSON, Douglas</v>
      </c>
      <c r="F50" s="76">
        <f>LEN(B50)</f>
        <v>14</v>
      </c>
      <c r="H50" s="107" t="s">
        <v>265</v>
      </c>
      <c r="I50" s="107" t="s">
        <v>143</v>
      </c>
      <c r="J50" s="55" t="s">
        <v>265</v>
      </c>
      <c r="K50" s="76">
        <f>IF(J50="","",COUNT($K$20:K49)+1)</f>
        <v>26</v>
      </c>
      <c r="L50" s="55" t="s">
        <v>110</v>
      </c>
    </row>
    <row r="51" spans="1:12" s="1" customFormat="1" ht="26.4">
      <c r="A51" s="55" t="s">
        <v>75</v>
      </c>
      <c r="B51" s="55" t="s">
        <v>76</v>
      </c>
      <c r="C51" s="76" t="str">
        <f>LEFT(B51,1)&amp;MID(B51,FIND(" ",B51)+1,1)</f>
        <v>KB</v>
      </c>
      <c r="D51" s="76" t="str">
        <f>UPPER(LEFT(B51,1)&amp;LEFT(MID(B51,FIND(" ",B51)+1,20),3))&amp;"-"&amp;RIGHT(A51,3)</f>
        <v>KBEN-046</v>
      </c>
      <c r="E51" s="55" t="str">
        <f>UPPER(MID(B51,FIND(" ",B51)+1,20))&amp;", "&amp;LEFT(B51,FIND(" ",B51)-1)</f>
        <v>BENNETT, Kathleen</v>
      </c>
      <c r="F51" s="76">
        <f>LEN(B51)</f>
        <v>16</v>
      </c>
      <c r="H51" s="107" t="s">
        <v>178</v>
      </c>
      <c r="I51" s="107" t="s">
        <v>359</v>
      </c>
      <c r="J51" s="55" t="s">
        <v>436</v>
      </c>
      <c r="K51" s="76" t="str">
        <f>IF(J51="","",COUNT($K$20:K50)+1)</f>
        <v/>
      </c>
      <c r="L51" s="55" t="s">
        <v>280</v>
      </c>
    </row>
    <row r="52" spans="1:12" s="1" customFormat="1" ht="26.4">
      <c r="A52" s="55" t="s">
        <v>229</v>
      </c>
      <c r="B52" s="55" t="s">
        <v>230</v>
      </c>
      <c r="C52" s="76" t="str">
        <f>LEFT(B52,1)&amp;MID(B52,FIND(" ",B52)+1,1)</f>
        <v>GM</v>
      </c>
      <c r="D52" s="76" t="str">
        <f>UPPER(LEFT(B52,1)&amp;LEFT(MID(B52,FIND(" ",B52)+1,20),3))&amp;"-"&amp;RIGHT(A52,3)</f>
        <v>GMUR-047</v>
      </c>
      <c r="E52" s="55" t="str">
        <f>UPPER(MID(B52,FIND(" ",B52)+1,20))&amp;", "&amp;LEFT(B52,FIND(" ",B52)-1)</f>
        <v>MURPHY, Gerald</v>
      </c>
      <c r="F52" s="76">
        <f>LEN(B52)</f>
        <v>13</v>
      </c>
      <c r="H52" s="107" t="s">
        <v>143</v>
      </c>
      <c r="I52" s="107" t="s">
        <v>260</v>
      </c>
      <c r="J52" s="55" t="s">
        <v>143</v>
      </c>
      <c r="K52" s="76">
        <f>IF(J52="","",COUNT($K$20:K51)+1)</f>
        <v>27</v>
      </c>
      <c r="L52" s="55" t="s">
        <v>137</v>
      </c>
    </row>
    <row r="53" spans="1:12" s="1" customFormat="1" ht="39.6">
      <c r="A53" s="55" t="s">
        <v>129</v>
      </c>
      <c r="B53" s="55" t="s">
        <v>130</v>
      </c>
      <c r="C53" s="76" t="str">
        <f>LEFT(B53,1)&amp;MID(B53,FIND(" ",B53)+1,1)</f>
        <v>VS</v>
      </c>
      <c r="D53" s="76" t="str">
        <f>UPPER(LEFT(B53,1)&amp;LEFT(MID(B53,FIND(" ",B53)+1,20),3))&amp;"-"&amp;RIGHT(A53,3)</f>
        <v>VSAN-048</v>
      </c>
      <c r="E53" s="55" t="str">
        <f>UPPER(MID(B53,FIND(" ",B53)+1,20))&amp;", "&amp;LEFT(B53,FIND(" ",B53)-1)</f>
        <v>SANDERS, Virginia</v>
      </c>
      <c r="F53" s="76">
        <f>LEN(B53)</f>
        <v>16</v>
      </c>
      <c r="H53" s="107" t="s">
        <v>359</v>
      </c>
      <c r="I53" s="107" t="s">
        <v>110</v>
      </c>
      <c r="J53" s="55" t="s">
        <v>359</v>
      </c>
      <c r="K53" s="76">
        <f>IF(J53="","",COUNT($K$20:K52)+1)</f>
        <v>28</v>
      </c>
      <c r="L53" s="55" t="s">
        <v>76</v>
      </c>
    </row>
    <row r="54" spans="1:12" s="1" customFormat="1" ht="26.4">
      <c r="A54" s="55" t="s">
        <v>204</v>
      </c>
      <c r="B54" s="55" t="s">
        <v>205</v>
      </c>
      <c r="C54" s="76" t="str">
        <f>LEFT(B54,1)&amp;MID(B54,FIND(" ",B54)+1,1)</f>
        <v>RR</v>
      </c>
      <c r="D54" s="76" t="str">
        <f>UPPER(LEFT(B54,1)&amp;LEFT(MID(B54,FIND(" ",B54)+1,20),3))&amp;"-"&amp;RIGHT(A54,3)</f>
        <v>RROS-049</v>
      </c>
      <c r="E54" s="55" t="str">
        <f>UPPER(MID(B54,FIND(" ",B54)+1,20))&amp;", "&amp;LEFT(B54,FIND(" ",B54)-1)</f>
        <v>ROSS, Raymond</v>
      </c>
      <c r="F54" s="76">
        <f>LEN(B54)</f>
        <v>12</v>
      </c>
      <c r="H54" s="107" t="s">
        <v>116</v>
      </c>
      <c r="I54" s="107" t="s">
        <v>280</v>
      </c>
      <c r="J54" s="55" t="s">
        <v>436</v>
      </c>
      <c r="K54" s="76" t="str">
        <f>IF(J54="","",COUNT($K$20:K53)+1)</f>
        <v/>
      </c>
      <c r="L54" s="55" t="s">
        <v>130</v>
      </c>
    </row>
    <row r="55" spans="1:12" s="1" customFormat="1" ht="26.4">
      <c r="A55" s="55" t="s">
        <v>195</v>
      </c>
      <c r="B55" s="55" t="s">
        <v>196</v>
      </c>
      <c r="C55" s="76" t="str">
        <f>LEFT(B55,1)&amp;MID(B55,FIND(" ",B55)+1,1)</f>
        <v>JF</v>
      </c>
      <c r="D55" s="76" t="str">
        <f>UPPER(LEFT(B55,1)&amp;LEFT(MID(B55,FIND(" ",B55)+1,20),3))&amp;"-"&amp;RIGHT(A55,3)</f>
        <v>JFOS-050</v>
      </c>
      <c r="E55" s="55" t="str">
        <f>UPPER(MID(B55,FIND(" ",B55)+1,20))&amp;", "&amp;LEFT(B55,FIND(" ",B55)-1)</f>
        <v>FOSTER, Julie</v>
      </c>
      <c r="F55" s="76">
        <f>LEN(B55)</f>
        <v>12</v>
      </c>
      <c r="H55" s="107" t="s">
        <v>260</v>
      </c>
      <c r="I55" s="107" t="s">
        <v>137</v>
      </c>
      <c r="J55" s="55" t="s">
        <v>260</v>
      </c>
      <c r="K55" s="76">
        <f>IF(J55="","",COUNT($K$20:K54)+1)</f>
        <v>29</v>
      </c>
      <c r="L55" s="55" t="s">
        <v>436</v>
      </c>
    </row>
    <row r="56" spans="1:12" s="1" customFormat="1" ht="26.4">
      <c r="H56" s="107" t="s">
        <v>184</v>
      </c>
      <c r="I56" s="107" t="s">
        <v>76</v>
      </c>
      <c r="J56" s="55" t="s">
        <v>436</v>
      </c>
      <c r="K56" s="76" t="str">
        <f>IF(J56="","",COUNT($K$20:K55)+1)</f>
        <v/>
      </c>
      <c r="L56" s="55" t="s">
        <v>436</v>
      </c>
    </row>
    <row r="57" spans="1:12" s="1" customFormat="1" ht="39.6">
      <c r="H57" s="107" t="s">
        <v>110</v>
      </c>
      <c r="I57" s="107" t="s">
        <v>130</v>
      </c>
      <c r="J57" s="55" t="s">
        <v>110</v>
      </c>
      <c r="K57" s="76">
        <f>IF(J57="","",COUNT($K$20:K56)+1)</f>
        <v>30</v>
      </c>
      <c r="L57" s="55" t="s">
        <v>436</v>
      </c>
    </row>
    <row r="58" spans="1:12" s="1" customFormat="1" ht="26.4">
      <c r="H58" s="107" t="s">
        <v>280</v>
      </c>
      <c r="I58" s="107"/>
      <c r="J58" s="55" t="s">
        <v>280</v>
      </c>
      <c r="K58" s="76">
        <f>IF(J58="","",COUNT($K$20:K57)+1)</f>
        <v>31</v>
      </c>
      <c r="L58" s="55" t="s">
        <v>436</v>
      </c>
    </row>
    <row r="59" spans="1:12" s="1" customFormat="1" ht="26.4">
      <c r="H59" s="107" t="s">
        <v>137</v>
      </c>
      <c r="I59" s="107"/>
      <c r="J59" s="55" t="s">
        <v>137</v>
      </c>
      <c r="K59" s="76">
        <f>IF(J59="","",COUNT($K$20:K58)+1)</f>
        <v>32</v>
      </c>
      <c r="L59" s="55" t="s">
        <v>436</v>
      </c>
    </row>
    <row r="60" spans="1:12" s="1" customFormat="1" ht="26.4">
      <c r="H60" s="107" t="s">
        <v>327</v>
      </c>
      <c r="I60" s="107"/>
      <c r="J60" s="55" t="s">
        <v>436</v>
      </c>
      <c r="K60" s="76" t="str">
        <f>IF(J60="","",COUNT($K$20:K59)+1)</f>
        <v/>
      </c>
      <c r="L60" s="55" t="s">
        <v>436</v>
      </c>
    </row>
    <row r="61" spans="1:12" s="1" customFormat="1" ht="26.4">
      <c r="H61" s="107" t="s">
        <v>76</v>
      </c>
      <c r="I61" s="107"/>
      <c r="J61" s="55" t="s">
        <v>76</v>
      </c>
      <c r="K61" s="76">
        <f>IF(J61="","",COUNT($K$20:K60)+1)</f>
        <v>33</v>
      </c>
      <c r="L61" s="55" t="s">
        <v>436</v>
      </c>
    </row>
    <row r="62" spans="1:12" s="1" customFormat="1" ht="26.4">
      <c r="H62" s="107" t="s">
        <v>230</v>
      </c>
      <c r="I62" s="107"/>
      <c r="J62" s="55" t="s">
        <v>436</v>
      </c>
      <c r="K62" s="76" t="str">
        <f>IF(J62="","",COUNT($K$20:K61)+1)</f>
        <v/>
      </c>
      <c r="L62" s="55" t="s">
        <v>436</v>
      </c>
    </row>
    <row r="63" spans="1:12" s="1" customFormat="1" ht="26.4">
      <c r="H63" s="107" t="s">
        <v>130</v>
      </c>
      <c r="I63" s="107"/>
      <c r="J63" s="55" t="s">
        <v>130</v>
      </c>
      <c r="K63" s="76">
        <f>IF(J63="","",COUNT($K$20:K62)+1)</f>
        <v>34</v>
      </c>
      <c r="L63" s="55" t="s">
        <v>436</v>
      </c>
    </row>
    <row r="64" spans="1:12" s="1" customFormat="1" ht="26.4">
      <c r="H64" s="107" t="s">
        <v>205</v>
      </c>
      <c r="I64" s="107"/>
      <c r="J64" s="55" t="s">
        <v>436</v>
      </c>
      <c r="K64" s="76" t="str">
        <f>IF(J64="","",COUNT($K$20:K63)+1)</f>
        <v/>
      </c>
      <c r="L64" s="55" t="s">
        <v>436</v>
      </c>
    </row>
  </sheetData>
  <mergeCells count="4">
    <mergeCell ref="A1:S1"/>
    <mergeCell ref="A2:S2"/>
    <mergeCell ref="M5:O5"/>
    <mergeCell ref="H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B127-08E0-4C3C-A6C9-160014C84B67}">
  <dimension ref="A1:V91"/>
  <sheetViews>
    <sheetView topLeftCell="A71" workbookViewId="0">
      <selection activeCell="E95" sqref="E95"/>
    </sheetView>
  </sheetViews>
  <sheetFormatPr defaultRowHeight="14.4"/>
  <sheetData>
    <row r="1" spans="1:22" s="1" customFormat="1" ht="21">
      <c r="A1" s="51" t="s">
        <v>657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 s="1" customFormat="1">
      <c r="A2" s="52" t="s">
        <v>658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22" s="1" customFormat="1"/>
    <row r="4" spans="1:22" s="1" customFormat="1"/>
    <row r="5" spans="1:22" s="1" customFormat="1"/>
    <row r="6" spans="1:22" s="1" customFormat="1"/>
    <row r="7" spans="1:22" s="1" customFormat="1"/>
    <row r="8" spans="1:22" s="1" customFormat="1"/>
    <row r="9" spans="1:22" s="1" customFormat="1"/>
    <row r="10" spans="1:22" s="1" customFormat="1"/>
    <row r="11" spans="1:22" s="1" customFormat="1"/>
    <row r="12" spans="1:22" s="1" customFormat="1"/>
    <row r="13" spans="1:22" s="1" customFormat="1"/>
    <row r="14" spans="1:22" s="1" customFormat="1"/>
    <row r="15" spans="1:22" s="1" customFormat="1"/>
    <row r="16" spans="1:2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</sheetData>
  <mergeCells count="2">
    <mergeCell ref="A1:V1"/>
    <mergeCell ref="A2:V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A6DB-6C12-4E47-93B0-9095CA3BCBF9}">
  <dimension ref="A1:H36"/>
  <sheetViews>
    <sheetView workbookViewId="0">
      <selection activeCell="G9" sqref="G9"/>
    </sheetView>
  </sheetViews>
  <sheetFormatPr defaultRowHeight="14.4"/>
  <cols>
    <col min="2" max="2" width="15.21875" customWidth="1"/>
    <col min="4" max="4" width="17.77734375" customWidth="1"/>
    <col min="5" max="5" width="19.33203125" customWidth="1"/>
  </cols>
  <sheetData>
    <row r="1" spans="1:8" s="1" customFormat="1" ht="21">
      <c r="A1" s="51" t="s">
        <v>659</v>
      </c>
      <c r="B1" s="51"/>
      <c r="C1" s="51"/>
      <c r="D1" s="51"/>
      <c r="E1" s="51"/>
      <c r="F1" s="51"/>
      <c r="G1" s="51"/>
      <c r="H1" s="51"/>
    </row>
    <row r="2" spans="1:8" s="1" customFormat="1">
      <c r="A2" s="52" t="s">
        <v>660</v>
      </c>
      <c r="B2" s="52"/>
      <c r="C2" s="52"/>
      <c r="D2" s="52"/>
      <c r="E2" s="52"/>
      <c r="F2" s="52"/>
      <c r="G2" s="52"/>
      <c r="H2" s="52"/>
    </row>
    <row r="3" spans="1:8" s="1" customFormat="1"/>
    <row r="4" spans="1:8" s="1" customFormat="1" ht="15" thickBot="1">
      <c r="B4" s="20" t="s">
        <v>661</v>
      </c>
      <c r="C4" s="21"/>
      <c r="D4" s="21"/>
      <c r="E4" s="21"/>
      <c r="F4" s="21"/>
    </row>
    <row r="5" spans="1:8" s="1" customFormat="1" ht="24.6" thickTop="1">
      <c r="B5" s="113" t="s">
        <v>435</v>
      </c>
      <c r="C5" s="114" t="s">
        <v>662</v>
      </c>
      <c r="D5" s="115" t="s">
        <v>451</v>
      </c>
      <c r="E5" s="116" t="s">
        <v>27</v>
      </c>
    </row>
    <row r="6" spans="1:8" s="1" customFormat="1" ht="19.2">
      <c r="B6" s="117">
        <v>229192.47</v>
      </c>
      <c r="C6" s="118">
        <v>250</v>
      </c>
      <c r="D6" s="119">
        <v>753</v>
      </c>
      <c r="E6" s="120">
        <v>916.76988000000097</v>
      </c>
    </row>
    <row r="7" spans="1:8" s="1" customFormat="1" ht="15" thickBot="1"/>
    <row r="8" spans="1:8" s="1" customFormat="1" ht="36.6" thickTop="1">
      <c r="B8" s="121" t="s">
        <v>440</v>
      </c>
      <c r="C8" s="122" t="s">
        <v>449</v>
      </c>
      <c r="D8" s="123" t="s">
        <v>663</v>
      </c>
      <c r="E8" s="124" t="s">
        <v>446</v>
      </c>
    </row>
    <row r="9" spans="1:8" s="1" customFormat="1" ht="57.6">
      <c r="B9" s="125">
        <v>50</v>
      </c>
      <c r="C9" s="126" t="s">
        <v>24</v>
      </c>
      <c r="D9" s="127" t="s">
        <v>82</v>
      </c>
      <c r="E9" s="128" t="s">
        <v>100</v>
      </c>
    </row>
    <row r="10" spans="1:8" s="1" customFormat="1"/>
    <row r="11" spans="1:8" s="1" customFormat="1"/>
    <row r="12" spans="1:8" s="1" customFormat="1" ht="48.6" customHeight="1">
      <c r="B12" s="22" t="s">
        <v>664</v>
      </c>
      <c r="C12" s="23"/>
      <c r="D12" s="23"/>
      <c r="E12" s="23"/>
      <c r="F12" s="23"/>
    </row>
    <row r="13" spans="1:8" s="1" customFormat="1" ht="48.6" customHeight="1">
      <c r="B13" s="129" t="s">
        <v>665</v>
      </c>
      <c r="C13" s="131"/>
      <c r="D13" s="131"/>
      <c r="E13" s="131"/>
      <c r="F13" s="130"/>
    </row>
    <row r="14" spans="1:8" s="1" customFormat="1" ht="48.6" customHeight="1">
      <c r="B14" s="129" t="s">
        <v>666</v>
      </c>
      <c r="C14" s="131"/>
      <c r="D14" s="131"/>
      <c r="E14" s="131"/>
      <c r="F14" s="130"/>
    </row>
    <row r="15" spans="1:8" s="1" customFormat="1" ht="48.6" customHeight="1">
      <c r="B15" s="129" t="s">
        <v>667</v>
      </c>
      <c r="C15" s="131"/>
      <c r="D15" s="131"/>
      <c r="E15" s="131"/>
      <c r="F15" s="130"/>
    </row>
    <row r="16" spans="1:8" s="1" customFormat="1" ht="48.6" customHeight="1">
      <c r="B16" s="129" t="s">
        <v>668</v>
      </c>
      <c r="C16" s="131"/>
      <c r="D16" s="131"/>
      <c r="E16" s="131"/>
      <c r="F16" s="130"/>
    </row>
    <row r="17" spans="2:6" s="1" customFormat="1" ht="48.6" customHeight="1">
      <c r="B17" s="129" t="s">
        <v>669</v>
      </c>
      <c r="C17" s="131"/>
      <c r="D17" s="131"/>
      <c r="E17" s="131"/>
      <c r="F17" s="130"/>
    </row>
    <row r="18" spans="2:6" s="1" customFormat="1" ht="48.6" customHeight="1">
      <c r="B18" s="129" t="s">
        <v>670</v>
      </c>
      <c r="C18" s="131"/>
      <c r="D18" s="131"/>
      <c r="E18" s="131"/>
      <c r="F18" s="130"/>
    </row>
    <row r="19" spans="2:6" s="1" customFormat="1" ht="48.6" customHeight="1">
      <c r="B19" s="129" t="s">
        <v>671</v>
      </c>
      <c r="C19" s="131"/>
      <c r="D19" s="131"/>
      <c r="E19" s="131"/>
      <c r="F19" s="130"/>
    </row>
    <row r="20" spans="2:6" s="1" customFormat="1" ht="48.6" customHeight="1">
      <c r="B20" s="129" t="s">
        <v>672</v>
      </c>
      <c r="C20" s="131"/>
      <c r="D20" s="131"/>
      <c r="E20" s="131"/>
      <c r="F20" s="130"/>
    </row>
    <row r="21" spans="2:6" s="1" customFormat="1" ht="48.6" customHeight="1">
      <c r="B21" s="129" t="s">
        <v>673</v>
      </c>
      <c r="C21" s="131"/>
      <c r="D21" s="131"/>
      <c r="E21" s="131"/>
      <c r="F21" s="130"/>
    </row>
    <row r="22" spans="2:6" s="1" customFormat="1" ht="48.6" customHeight="1">
      <c r="B22" s="129" t="s">
        <v>674</v>
      </c>
      <c r="C22" s="131"/>
      <c r="D22" s="131"/>
      <c r="E22" s="131"/>
      <c r="F22" s="130"/>
    </row>
    <row r="23" spans="2:6" s="1" customFormat="1"/>
    <row r="24" spans="2:6" s="1" customFormat="1" ht="36" customHeight="1">
      <c r="B24" s="41" t="s">
        <v>675</v>
      </c>
      <c r="C24" s="42"/>
      <c r="D24" s="42"/>
      <c r="E24" s="42"/>
      <c r="F24" s="42"/>
    </row>
    <row r="25" spans="2:6" s="1" customFormat="1" ht="36" customHeight="1">
      <c r="B25" s="129" t="s">
        <v>676</v>
      </c>
      <c r="C25" s="131"/>
      <c r="D25" s="131"/>
      <c r="E25" s="131"/>
      <c r="F25" s="130"/>
    </row>
    <row r="26" spans="2:6" s="1" customFormat="1" ht="36" customHeight="1">
      <c r="B26" s="129" t="s">
        <v>677</v>
      </c>
      <c r="C26" s="131"/>
      <c r="D26" s="131"/>
      <c r="E26" s="131"/>
      <c r="F26" s="130"/>
    </row>
    <row r="27" spans="2:6" s="1" customFormat="1" ht="36" customHeight="1">
      <c r="B27" s="129" t="s">
        <v>678</v>
      </c>
      <c r="C27" s="131"/>
      <c r="D27" s="131"/>
      <c r="E27" s="131"/>
      <c r="F27" s="130"/>
    </row>
    <row r="28" spans="2:6" s="1" customFormat="1" ht="36" customHeight="1">
      <c r="B28" s="129" t="s">
        <v>679</v>
      </c>
      <c r="C28" s="131"/>
      <c r="D28" s="131"/>
      <c r="E28" s="131"/>
      <c r="F28" s="130"/>
    </row>
    <row r="29" spans="2:6" s="1" customFormat="1" ht="36" customHeight="1">
      <c r="B29" s="129" t="s">
        <v>680</v>
      </c>
      <c r="C29" s="131"/>
      <c r="D29" s="131"/>
      <c r="E29" s="131"/>
      <c r="F29" s="130"/>
    </row>
    <row r="30" spans="2:6" s="1" customFormat="1"/>
    <row r="31" spans="2:6" s="1" customFormat="1" ht="37.799999999999997" customHeight="1">
      <c r="B31" s="69" t="s">
        <v>681</v>
      </c>
      <c r="C31" s="70"/>
      <c r="D31" s="70"/>
      <c r="E31" s="70"/>
      <c r="F31" s="70"/>
    </row>
    <row r="32" spans="2:6" s="1" customFormat="1" ht="37.799999999999997" customHeight="1">
      <c r="B32" s="129" t="s">
        <v>682</v>
      </c>
      <c r="C32" s="131"/>
      <c r="D32" s="131"/>
      <c r="E32" s="131"/>
      <c r="F32" s="130"/>
    </row>
    <row r="33" spans="2:6" s="1" customFormat="1" ht="37.799999999999997" customHeight="1">
      <c r="B33" s="129" t="s">
        <v>683</v>
      </c>
      <c r="C33" s="131"/>
      <c r="D33" s="131"/>
      <c r="E33" s="131"/>
      <c r="F33" s="130"/>
    </row>
    <row r="34" spans="2:6" s="1" customFormat="1" ht="37.799999999999997" customHeight="1">
      <c r="B34" s="129" t="s">
        <v>684</v>
      </c>
      <c r="C34" s="131"/>
      <c r="D34" s="131"/>
      <c r="E34" s="131"/>
      <c r="F34" s="130"/>
    </row>
    <row r="35" spans="2:6" s="1" customFormat="1"/>
    <row r="36" spans="2:6" s="1" customFormat="1" ht="20.399999999999999" customHeight="1">
      <c r="B36" s="53" t="s">
        <v>685</v>
      </c>
      <c r="C36" s="132">
        <v>0</v>
      </c>
      <c r="D36" s="133" t="str">
        <f>IF(C36=0,"OK - totals match","CHECK DATA")</f>
        <v>OK - totals match</v>
      </c>
    </row>
  </sheetData>
  <mergeCells count="20">
    <mergeCell ref="B33:F33"/>
    <mergeCell ref="B34:F34"/>
    <mergeCell ref="B25:F25"/>
    <mergeCell ref="B26:F26"/>
    <mergeCell ref="B27:F27"/>
    <mergeCell ref="B28:F28"/>
    <mergeCell ref="B29:F29"/>
    <mergeCell ref="B32:F32"/>
    <mergeCell ref="B17:F17"/>
    <mergeCell ref="B18:F18"/>
    <mergeCell ref="B19:F19"/>
    <mergeCell ref="B20:F20"/>
    <mergeCell ref="B21:F21"/>
    <mergeCell ref="B22:F22"/>
    <mergeCell ref="A1:H1"/>
    <mergeCell ref="A2:H2"/>
    <mergeCell ref="B13:F13"/>
    <mergeCell ref="B14:F14"/>
    <mergeCell ref="B15:F15"/>
    <mergeCell ref="B16:F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0A75-FD03-41BA-A4B7-73F0F3019F2F}">
  <dimension ref="A1:D12"/>
  <sheetViews>
    <sheetView topLeftCell="C8" workbookViewId="0">
      <selection activeCell="D18" sqref="D18"/>
    </sheetView>
  </sheetViews>
  <sheetFormatPr defaultRowHeight="14.4"/>
  <cols>
    <col min="1" max="1" width="12.44140625" customWidth="1"/>
    <col min="2" max="2" width="61.44140625" customWidth="1"/>
    <col min="3" max="3" width="28.44140625" customWidth="1"/>
  </cols>
  <sheetData>
    <row r="1" spans="1:4" s="1" customFormat="1" ht="21">
      <c r="A1" s="51" t="s">
        <v>686</v>
      </c>
      <c r="B1" s="51"/>
      <c r="C1" s="51"/>
      <c r="D1" s="51"/>
    </row>
    <row r="2" spans="1:4" s="1" customFormat="1">
      <c r="A2" s="52" t="s">
        <v>687</v>
      </c>
      <c r="B2" s="52"/>
      <c r="C2" s="52"/>
      <c r="D2" s="52"/>
    </row>
    <row r="3" spans="1:4" s="1" customFormat="1"/>
    <row r="4" spans="1:4" s="1" customFormat="1" ht="55.2" customHeight="1">
      <c r="A4" s="43" t="s">
        <v>688</v>
      </c>
      <c r="B4" s="43" t="s">
        <v>689</v>
      </c>
      <c r="C4" s="43" t="s">
        <v>690</v>
      </c>
    </row>
    <row r="5" spans="1:4" s="1" customFormat="1" ht="55.2" customHeight="1">
      <c r="A5" s="134" t="s">
        <v>691</v>
      </c>
      <c r="B5" s="135" t="s">
        <v>692</v>
      </c>
      <c r="C5" s="136" t="s">
        <v>693</v>
      </c>
    </row>
    <row r="6" spans="1:4" s="1" customFormat="1" ht="55.2" customHeight="1">
      <c r="A6" s="134" t="s">
        <v>694</v>
      </c>
      <c r="B6" s="135" t="s">
        <v>695</v>
      </c>
      <c r="C6" s="136" t="s">
        <v>696</v>
      </c>
    </row>
    <row r="7" spans="1:4" s="1" customFormat="1" ht="55.2" customHeight="1">
      <c r="A7" s="134" t="s">
        <v>697</v>
      </c>
      <c r="B7" s="135" t="s">
        <v>698</v>
      </c>
      <c r="C7" s="136" t="s">
        <v>699</v>
      </c>
    </row>
    <row r="8" spans="1:4" s="1" customFormat="1" ht="55.2" customHeight="1">
      <c r="A8" s="134" t="s">
        <v>700</v>
      </c>
      <c r="B8" s="135" t="s">
        <v>701</v>
      </c>
      <c r="C8" s="136" t="s">
        <v>702</v>
      </c>
    </row>
    <row r="9" spans="1:4" s="1" customFormat="1" ht="55.2" customHeight="1">
      <c r="A9" s="134" t="s">
        <v>703</v>
      </c>
      <c r="B9" s="135" t="s">
        <v>704</v>
      </c>
      <c r="C9" s="136" t="s">
        <v>705</v>
      </c>
    </row>
    <row r="10" spans="1:4" s="1" customFormat="1" ht="55.2" customHeight="1">
      <c r="A10" s="134" t="s">
        <v>706</v>
      </c>
      <c r="B10" s="135" t="s">
        <v>707</v>
      </c>
      <c r="C10" s="136" t="s">
        <v>708</v>
      </c>
    </row>
    <row r="11" spans="1:4" s="1" customFormat="1" ht="55.2" customHeight="1">
      <c r="A11" s="134" t="s">
        <v>709</v>
      </c>
      <c r="B11" s="135" t="s">
        <v>710</v>
      </c>
      <c r="C11" s="136" t="s">
        <v>711</v>
      </c>
    </row>
    <row r="12" spans="1:4" s="1" customFormat="1" ht="55.2" customHeight="1">
      <c r="A12" s="134" t="s">
        <v>712</v>
      </c>
      <c r="B12" s="135" t="s">
        <v>713</v>
      </c>
      <c r="C12" s="136" t="s">
        <v>714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73DC-5DA0-47F9-83F7-F647605EDF9C}">
  <dimension ref="A1:Y72"/>
  <sheetViews>
    <sheetView zoomScale="39" workbookViewId="0">
      <selection activeCell="K42" sqref="K42"/>
    </sheetView>
  </sheetViews>
  <sheetFormatPr defaultRowHeight="14.4"/>
  <cols>
    <col min="1" max="1" width="17" customWidth="1"/>
    <col min="2" max="2" width="14.5546875" customWidth="1"/>
    <col min="3" max="3" width="9" bestFit="1" customWidth="1"/>
    <col min="4" max="4" width="15.109375" customWidth="1"/>
    <col min="5" max="6" width="9" bestFit="1" customWidth="1"/>
    <col min="7" max="7" width="15.21875" customWidth="1"/>
    <col min="8" max="8" width="9" bestFit="1" customWidth="1"/>
    <col min="11" max="11" width="9" bestFit="1" customWidth="1"/>
    <col min="14" max="15" width="9" bestFit="1" customWidth="1"/>
    <col min="16" max="16" width="12.6640625" customWidth="1"/>
    <col min="19" max="20" width="9" bestFit="1" customWidth="1"/>
    <col min="21" max="21" width="14.33203125" bestFit="1" customWidth="1"/>
  </cols>
  <sheetData>
    <row r="1" spans="1:25" s="1" customFormat="1" ht="21">
      <c r="A1" s="51" t="s">
        <v>715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s="1" customFormat="1">
      <c r="A2" s="52" t="s">
        <v>716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s="1" customFormat="1">
      <c r="A3" s="137" t="s">
        <v>717</v>
      </c>
      <c r="B3" s="45" t="s">
        <v>718</v>
      </c>
    </row>
    <row r="4" spans="1:25" s="1" customFormat="1">
      <c r="A4" s="137" t="s">
        <v>719</v>
      </c>
      <c r="B4" s="45" t="s">
        <v>718</v>
      </c>
    </row>
    <row r="5" spans="1:25" s="1" customFormat="1"/>
    <row r="6" spans="1:25" s="1" customFormat="1" ht="39.6">
      <c r="A6" s="26" t="s">
        <v>39</v>
      </c>
      <c r="B6" s="26" t="s">
        <v>23</v>
      </c>
      <c r="D6" s="26" t="s">
        <v>43</v>
      </c>
      <c r="E6" s="26" t="s">
        <v>23</v>
      </c>
      <c r="G6" s="26" t="s">
        <v>507</v>
      </c>
      <c r="H6" s="26" t="s">
        <v>23</v>
      </c>
      <c r="J6" s="26" t="s">
        <v>458</v>
      </c>
      <c r="K6" s="26" t="s">
        <v>23</v>
      </c>
      <c r="M6" s="26" t="s">
        <v>467</v>
      </c>
      <c r="N6" s="26" t="s">
        <v>23</v>
      </c>
      <c r="O6" s="26" t="s">
        <v>25</v>
      </c>
      <c r="P6" s="26" t="s">
        <v>720</v>
      </c>
      <c r="R6" s="26" t="s">
        <v>461</v>
      </c>
      <c r="S6" s="26" t="s">
        <v>23</v>
      </c>
      <c r="T6" s="26" t="s">
        <v>468</v>
      </c>
      <c r="U6" s="26" t="s">
        <v>721</v>
      </c>
      <c r="W6" s="26" t="s">
        <v>487</v>
      </c>
      <c r="X6" s="26" t="s">
        <v>722</v>
      </c>
      <c r="Y6" s="26" t="s">
        <v>23</v>
      </c>
    </row>
    <row r="7" spans="1:25" s="1" customFormat="1">
      <c r="A7" s="45" t="s">
        <v>56</v>
      </c>
      <c r="B7" s="138">
        <v>171756.05</v>
      </c>
      <c r="D7" s="45" t="s">
        <v>100</v>
      </c>
      <c r="E7" s="138">
        <v>59288.39</v>
      </c>
      <c r="G7" s="45" t="s">
        <v>63</v>
      </c>
      <c r="H7" s="138">
        <v>61447.96</v>
      </c>
      <c r="J7" s="45" t="s">
        <v>59</v>
      </c>
      <c r="K7" s="138">
        <v>62177.81</v>
      </c>
      <c r="M7" s="45" t="s">
        <v>723</v>
      </c>
      <c r="N7" s="138">
        <v>20919.330000000002</v>
      </c>
      <c r="O7" s="139">
        <v>21</v>
      </c>
      <c r="P7" s="83">
        <v>45383</v>
      </c>
      <c r="R7" s="45" t="s">
        <v>99</v>
      </c>
      <c r="S7" s="138">
        <v>67499.25</v>
      </c>
      <c r="T7" s="139">
        <v>75</v>
      </c>
      <c r="U7" s="140">
        <f>S7+ROW()/1000000</f>
        <v>67499.250006999995</v>
      </c>
      <c r="W7" s="45">
        <v>1</v>
      </c>
      <c r="X7" s="45" t="str">
        <f>_xlfn.SINGLE(INDEX($R$7:$R$16,MATCH(LARGE($U$7:$U$16,W7),$U$7:$U$16,0)))</f>
        <v>Laptop</v>
      </c>
      <c r="Y7" s="138">
        <f>_xlfn.SINGLE(INDEX($S$7:$S$16,MATCH(LARGE($U$7:$U$16,W7),$U$7:$U$16,0)))</f>
        <v>67499.25</v>
      </c>
    </row>
    <row r="8" spans="1:25" s="1" customFormat="1">
      <c r="A8" s="45" t="s">
        <v>83</v>
      </c>
      <c r="B8" s="138">
        <v>49097.68</v>
      </c>
      <c r="D8" s="45" t="s">
        <v>77</v>
      </c>
      <c r="E8" s="138">
        <v>50808.31</v>
      </c>
      <c r="G8" s="45" t="s">
        <v>71</v>
      </c>
      <c r="H8" s="138">
        <v>58198.41</v>
      </c>
      <c r="J8" s="45" t="s">
        <v>73</v>
      </c>
      <c r="K8" s="138">
        <v>82357.539999999994</v>
      </c>
      <c r="M8" s="45" t="s">
        <v>578</v>
      </c>
      <c r="N8" s="138">
        <v>17039.349999999999</v>
      </c>
      <c r="O8" s="139">
        <v>19</v>
      </c>
      <c r="P8" s="83">
        <v>45413</v>
      </c>
      <c r="R8" s="45" t="s">
        <v>118</v>
      </c>
      <c r="S8" s="138">
        <v>67199.039999999994</v>
      </c>
      <c r="T8" s="139">
        <v>96</v>
      </c>
      <c r="U8" s="140">
        <f>S8+ROW()/1000000</f>
        <v>67199.040007999996</v>
      </c>
      <c r="W8" s="45">
        <v>2</v>
      </c>
      <c r="X8" s="45" t="str">
        <f>_xlfn.SINGLE(INDEX($R$7:$R$16,MATCH(LARGE($U$7:$U$16,W8),$U$7:$U$16,0)))</f>
        <v>Smartphone</v>
      </c>
      <c r="Y8" s="138">
        <f>_xlfn.SINGLE(INDEX($S$7:$S$16,MATCH(LARGE($U$7:$U$16,W8),$U$7:$U$16,0)))</f>
        <v>67199.039999999994</v>
      </c>
    </row>
    <row r="9" spans="1:25" s="1" customFormat="1">
      <c r="A9" s="45" t="s">
        <v>70</v>
      </c>
      <c r="B9" s="138">
        <v>8338.74</v>
      </c>
      <c r="D9" s="45" t="s">
        <v>87</v>
      </c>
      <c r="E9" s="138">
        <v>41408.68</v>
      </c>
      <c r="G9" s="45" t="s">
        <v>57</v>
      </c>
      <c r="H9" s="138">
        <v>57427.79</v>
      </c>
      <c r="J9" s="45" t="s">
        <v>64</v>
      </c>
      <c r="K9" s="138">
        <v>84657.12</v>
      </c>
      <c r="M9" s="45" t="s">
        <v>580</v>
      </c>
      <c r="N9" s="138">
        <v>19299.45</v>
      </c>
      <c r="O9" s="139">
        <v>19</v>
      </c>
      <c r="P9" s="83">
        <v>45444</v>
      </c>
      <c r="R9" s="45" t="s">
        <v>140</v>
      </c>
      <c r="S9" s="138">
        <v>23399.22</v>
      </c>
      <c r="T9" s="139">
        <v>78</v>
      </c>
      <c r="U9" s="140">
        <f>S9+ROW()/1000000</f>
        <v>23399.220009000001</v>
      </c>
      <c r="W9" s="45">
        <v>3</v>
      </c>
      <c r="X9" s="45" t="str">
        <f>_xlfn.SINGLE(INDEX($R$7:$R$16,MATCH(LARGE($U$7:$U$16,W9),$U$7:$U$16,0)))</f>
        <v>Desk</v>
      </c>
      <c r="Y9" s="138">
        <f>_xlfn.SINGLE(INDEX($S$7:$S$16,MATCH(LARGE($U$7:$U$16,W9),$U$7:$U$16,0)))</f>
        <v>23399.22</v>
      </c>
    </row>
    <row r="10" spans="1:25" s="1" customFormat="1">
      <c r="D10" s="45" t="s">
        <v>58</v>
      </c>
      <c r="E10" s="138">
        <v>41288.339999999997</v>
      </c>
      <c r="G10" s="45" t="s">
        <v>94</v>
      </c>
      <c r="H10" s="138">
        <v>52118.31</v>
      </c>
      <c r="M10" s="45" t="s">
        <v>582</v>
      </c>
      <c r="N10" s="138">
        <v>18479.400000000001</v>
      </c>
      <c r="O10" s="139">
        <v>24</v>
      </c>
      <c r="P10" s="83">
        <v>45474</v>
      </c>
      <c r="R10" s="45" t="s">
        <v>55</v>
      </c>
      <c r="S10" s="138">
        <v>21999.119999999999</v>
      </c>
      <c r="T10" s="139">
        <v>88</v>
      </c>
      <c r="U10" s="140">
        <f>S10+ROW()/1000000</f>
        <v>21999.120009999999</v>
      </c>
      <c r="W10" s="45">
        <v>4</v>
      </c>
      <c r="X10" s="45" t="str">
        <f>_xlfn.SINGLE(INDEX($R$7:$R$16,MATCH(LARGE($U$7:$U$16,W10),$U$7:$U$16,0)))</f>
        <v>Monitor</v>
      </c>
      <c r="Y10" s="138">
        <f>_xlfn.SINGLE(INDEX($S$7:$S$16,MATCH(LARGE($U$7:$U$16,W10),$U$7:$U$16,0)))</f>
        <v>21999.119999999999</v>
      </c>
    </row>
    <row r="11" spans="1:25" s="1" customFormat="1">
      <c r="D11" s="45" t="s">
        <v>72</v>
      </c>
      <c r="E11" s="138">
        <v>36398.75</v>
      </c>
      <c r="M11" s="45" t="s">
        <v>584</v>
      </c>
      <c r="N11" s="138">
        <v>15759.43</v>
      </c>
      <c r="O11" s="139">
        <v>18</v>
      </c>
      <c r="P11" s="83">
        <v>45505</v>
      </c>
      <c r="R11" s="45" t="s">
        <v>82</v>
      </c>
      <c r="S11" s="138">
        <v>15298.98</v>
      </c>
      <c r="T11" s="139">
        <v>102</v>
      </c>
      <c r="U11" s="140">
        <f>S11+ROW()/1000000</f>
        <v>15298.980011</v>
      </c>
      <c r="W11" s="45">
        <v>5</v>
      </c>
      <c r="X11" s="45" t="str">
        <f>_xlfn.SINGLE(INDEX($R$7:$R$16,MATCH(LARGE($U$7:$U$16,W11),$U$7:$U$16,0)))</f>
        <v>Bookshelf</v>
      </c>
      <c r="Y11" s="138">
        <f>_xlfn.SINGLE(INDEX($S$7:$S$16,MATCH(LARGE($U$7:$U$16,W11),$U$7:$U$16,0)))</f>
        <v>15298.98</v>
      </c>
    </row>
    <row r="12" spans="1:25" s="1" customFormat="1">
      <c r="M12" s="45" t="s">
        <v>586</v>
      </c>
      <c r="N12" s="138">
        <v>12989.51</v>
      </c>
      <c r="O12" s="139">
        <v>19</v>
      </c>
      <c r="P12" s="83">
        <v>45536</v>
      </c>
      <c r="R12" s="45" t="s">
        <v>160</v>
      </c>
      <c r="S12" s="138">
        <v>10399.48</v>
      </c>
      <c r="T12" s="139">
        <v>52</v>
      </c>
      <c r="U12" s="140">
        <f>S12+ROW()/1000000</f>
        <v>10399.480012</v>
      </c>
    </row>
    <row r="13" spans="1:25" s="1" customFormat="1">
      <c r="M13" s="45" t="s">
        <v>588</v>
      </c>
      <c r="N13" s="138">
        <v>20609.52</v>
      </c>
      <c r="O13" s="139">
        <v>16</v>
      </c>
      <c r="P13" s="83">
        <v>45566</v>
      </c>
      <c r="R13" s="45" t="s">
        <v>152</v>
      </c>
      <c r="S13" s="138">
        <v>8009.11</v>
      </c>
      <c r="T13" s="139">
        <v>89</v>
      </c>
      <c r="U13" s="140">
        <f>S13+ROW()/1000000</f>
        <v>8009.1100129999995</v>
      </c>
    </row>
    <row r="14" spans="1:25" s="1" customFormat="1">
      <c r="M14" s="45" t="s">
        <v>590</v>
      </c>
      <c r="N14" s="138">
        <v>12309.44</v>
      </c>
      <c r="O14" s="139">
        <v>17</v>
      </c>
      <c r="P14" s="83">
        <v>45597</v>
      </c>
      <c r="R14" s="45" t="s">
        <v>90</v>
      </c>
      <c r="S14" s="138">
        <v>7049.53</v>
      </c>
      <c r="T14" s="139">
        <v>47</v>
      </c>
      <c r="U14" s="140">
        <f>S14+ROW()/1000000</f>
        <v>7049.5300139999999</v>
      </c>
    </row>
    <row r="15" spans="1:25" s="1" customFormat="1">
      <c r="M15" s="45" t="s">
        <v>596</v>
      </c>
      <c r="N15" s="138">
        <v>23039.3</v>
      </c>
      <c r="O15" s="139">
        <v>25</v>
      </c>
      <c r="P15" s="83">
        <v>45627</v>
      </c>
      <c r="R15" s="45" t="s">
        <v>69</v>
      </c>
      <c r="S15" s="138">
        <v>5219.13</v>
      </c>
      <c r="T15" s="139">
        <v>87</v>
      </c>
      <c r="U15" s="140">
        <f>S15+ROW()/1000000</f>
        <v>5219.1300149999997</v>
      </c>
    </row>
    <row r="16" spans="1:25" s="1" customFormat="1">
      <c r="M16" s="45" t="s">
        <v>598</v>
      </c>
      <c r="N16" s="138">
        <v>25799.15</v>
      </c>
      <c r="O16" s="139">
        <v>26</v>
      </c>
      <c r="P16" s="83">
        <v>45658</v>
      </c>
      <c r="R16" s="45" t="s">
        <v>149</v>
      </c>
      <c r="S16" s="138">
        <v>3119.61</v>
      </c>
      <c r="T16" s="139">
        <v>39</v>
      </c>
      <c r="U16" s="140">
        <f>S16+ROW()/1000000</f>
        <v>3119.6100160000001</v>
      </c>
    </row>
    <row r="17" spans="1:16" s="1" customFormat="1">
      <c r="M17" s="45" t="s">
        <v>599</v>
      </c>
      <c r="N17" s="138">
        <v>16069.38</v>
      </c>
      <c r="O17" s="139">
        <v>20</v>
      </c>
      <c r="P17" s="83">
        <v>45689</v>
      </c>
    </row>
    <row r="18" spans="1:16" s="1" customFormat="1">
      <c r="M18" s="45" t="s">
        <v>600</v>
      </c>
      <c r="N18" s="138">
        <v>19899.38</v>
      </c>
      <c r="O18" s="139">
        <v>19</v>
      </c>
      <c r="P18" s="83">
        <v>45717</v>
      </c>
    </row>
    <row r="19" spans="1:16" s="1" customFormat="1">
      <c r="M19" s="45" t="s">
        <v>609</v>
      </c>
      <c r="N19" s="138">
        <v>6979.83</v>
      </c>
      <c r="O19" s="139">
        <v>7</v>
      </c>
      <c r="P19" s="83">
        <v>45748</v>
      </c>
    </row>
    <row r="20" spans="1:16" s="1" customFormat="1"/>
    <row r="21" spans="1:16" s="1" customFormat="1"/>
    <row r="22" spans="1:16" s="1" customFormat="1" ht="39.6">
      <c r="A22" s="26" t="s">
        <v>724</v>
      </c>
      <c r="B22" s="26" t="s">
        <v>725</v>
      </c>
      <c r="C22" s="26" t="s">
        <v>23</v>
      </c>
      <c r="D22" s="26" t="s">
        <v>721</v>
      </c>
      <c r="F22" s="26" t="s">
        <v>487</v>
      </c>
      <c r="G22" s="26" t="s">
        <v>726</v>
      </c>
      <c r="H22" s="26" t="s">
        <v>23</v>
      </c>
    </row>
    <row r="23" spans="1:16" s="1" customFormat="1">
      <c r="A23" s="45" t="s">
        <v>419</v>
      </c>
      <c r="B23" s="45" t="s">
        <v>420</v>
      </c>
      <c r="C23" s="138">
        <v>599.96</v>
      </c>
      <c r="D23" s="140">
        <f>C23+ROW()/1000000</f>
        <v>599.96002300000009</v>
      </c>
      <c r="F23" s="45">
        <v>1</v>
      </c>
      <c r="G23" s="45" t="str">
        <f>_xlfn.SINGLE(IF(LARGE($C$23:$C$72,F23)&lt;=0,"-",INDEX($B$23:$B$72,MATCH(LARGE($D$23:$D$72,F23),$D$23:$D$72,0))))</f>
        <v>Mark Carter</v>
      </c>
      <c r="H23" s="138">
        <f>_xlfn.SINGLE(INDEX($C$23:$C$72,MATCH(LARGE($D$23:$D$72,F23),$D$23:$D$72,0)))</f>
        <v>15659.65</v>
      </c>
    </row>
    <row r="24" spans="1:16" s="1" customFormat="1">
      <c r="A24" s="45" t="s">
        <v>165</v>
      </c>
      <c r="B24" s="45" t="s">
        <v>166</v>
      </c>
      <c r="C24" s="138">
        <v>1229.8800000000001</v>
      </c>
      <c r="D24" s="140">
        <f>C24+ROW()/1000000</f>
        <v>1229.880024</v>
      </c>
      <c r="F24" s="45">
        <v>2</v>
      </c>
      <c r="G24" s="45" t="str">
        <f>_xlfn.SINGLE(IF(LARGE($C$23:$C$72,F24)&lt;=0,"-",INDEX($B$23:$B$72,MATCH(LARGE($D$23:$D$72,F24),$D$23:$D$72,0))))</f>
        <v>Edward Mitchell</v>
      </c>
      <c r="H24" s="138">
        <f>_xlfn.SINGLE(INDEX($C$23:$C$72,MATCH(LARGE($D$23:$D$72,F24),$D$23:$D$72,0)))</f>
        <v>11919.77</v>
      </c>
    </row>
    <row r="25" spans="1:16" s="1" customFormat="1">
      <c r="A25" s="45" t="s">
        <v>79</v>
      </c>
      <c r="B25" s="45" t="s">
        <v>80</v>
      </c>
      <c r="C25" s="138">
        <v>6169.74</v>
      </c>
      <c r="D25" s="140">
        <f>C25+ROW()/1000000</f>
        <v>6169.7400250000001</v>
      </c>
      <c r="F25" s="45">
        <v>3</v>
      </c>
      <c r="G25" s="45" t="str">
        <f>_xlfn.SINGLE(IF(LARGE($C$23:$C$72,F25)&lt;=0,"-",INDEX($B$23:$B$72,MATCH(LARGE($D$23:$D$72,F25),$D$23:$D$72,0))))</f>
        <v>Barbara Young</v>
      </c>
      <c r="H25" s="138">
        <f>_xlfn.SINGLE(INDEX($C$23:$C$72,MATCH(LARGE($D$23:$D$72,F25),$D$23:$D$72,0)))</f>
        <v>10649.8</v>
      </c>
    </row>
    <row r="26" spans="1:16" s="1" customFormat="1">
      <c r="A26" s="45" t="s">
        <v>187</v>
      </c>
      <c r="B26" s="45" t="s">
        <v>188</v>
      </c>
      <c r="C26" s="138">
        <v>5499.81</v>
      </c>
      <c r="D26" s="140">
        <f>C26+ROW()/1000000</f>
        <v>5499.8100260000001</v>
      </c>
      <c r="F26" s="45">
        <v>4</v>
      </c>
      <c r="G26" s="45" t="str">
        <f>_xlfn.SINGLE(IF(LARGE($C$23:$C$72,F26)&lt;=0,"-",INDEX($B$23:$B$72,MATCH(LARGE($D$23:$D$72,F26),$D$23:$D$72,0))))</f>
        <v>Patricia Moore</v>
      </c>
      <c r="H26" s="138">
        <f>_xlfn.SINGLE(INDEX($C$23:$C$72,MATCH(LARGE($D$23:$D$72,F26),$D$23:$D$72,0)))</f>
        <v>9799.73</v>
      </c>
    </row>
    <row r="27" spans="1:16" s="1" customFormat="1">
      <c r="A27" s="45" t="s">
        <v>337</v>
      </c>
      <c r="B27" s="45" t="s">
        <v>338</v>
      </c>
      <c r="C27" s="138">
        <v>179.97</v>
      </c>
      <c r="D27" s="140">
        <f>C27+ROW()/1000000</f>
        <v>179.97002699999999</v>
      </c>
      <c r="F27" s="45">
        <v>5</v>
      </c>
      <c r="G27" s="45" t="str">
        <f>_xlfn.SINGLE(IF(LARGE($C$23:$C$72,F27)&lt;=0,"-",INDEX($B$23:$B$72,MATCH(LARGE($D$23:$D$72,F27),$D$23:$D$72,0))))</f>
        <v>Paul Baker</v>
      </c>
      <c r="H27" s="138">
        <f>_xlfn.SINGLE(INDEX($C$23:$C$72,MATCH(LARGE($D$23:$D$72,F27),$D$23:$D$72,0)))</f>
        <v>8309.74</v>
      </c>
    </row>
    <row r="28" spans="1:16" s="1" customFormat="1">
      <c r="A28" s="45" t="s">
        <v>162</v>
      </c>
      <c r="B28" s="45" t="s">
        <v>163</v>
      </c>
      <c r="C28" s="138">
        <v>2039.8</v>
      </c>
      <c r="D28" s="140">
        <f>C28+ROW()/1000000</f>
        <v>2039.8000279999999</v>
      </c>
    </row>
    <row r="29" spans="1:16" s="1" customFormat="1">
      <c r="A29" s="45" t="s">
        <v>215</v>
      </c>
      <c r="B29" s="45" t="s">
        <v>216</v>
      </c>
      <c r="C29" s="138">
        <v>1809.84</v>
      </c>
      <c r="D29" s="140">
        <f>C29+ROW()/1000000</f>
        <v>1809.840029</v>
      </c>
    </row>
    <row r="30" spans="1:16" s="1" customFormat="1">
      <c r="A30" s="45" t="s">
        <v>174</v>
      </c>
      <c r="B30" s="45" t="s">
        <v>175</v>
      </c>
      <c r="C30" s="138">
        <v>4739.8500000000004</v>
      </c>
      <c r="D30" s="140">
        <f>C30+ROW()/1000000</f>
        <v>4739.8500300000005</v>
      </c>
    </row>
    <row r="31" spans="1:16" s="1" customFormat="1">
      <c r="A31" s="45" t="s">
        <v>96</v>
      </c>
      <c r="B31" s="45" t="s">
        <v>97</v>
      </c>
      <c r="C31" s="138">
        <v>3509.9</v>
      </c>
      <c r="D31" s="140">
        <f>C31+ROW()/1000000</f>
        <v>3509.9000310000001</v>
      </c>
    </row>
    <row r="32" spans="1:16" s="1" customFormat="1">
      <c r="A32" s="45" t="s">
        <v>125</v>
      </c>
      <c r="B32" s="45" t="s">
        <v>126</v>
      </c>
      <c r="C32" s="138">
        <v>1909.93</v>
      </c>
      <c r="D32" s="140">
        <f>C32+ROW()/1000000</f>
        <v>1909.930032</v>
      </c>
    </row>
    <row r="33" spans="1:4" s="1" customFormat="1">
      <c r="A33" s="45" t="s">
        <v>285</v>
      </c>
      <c r="B33" s="45" t="s">
        <v>286</v>
      </c>
      <c r="C33" s="138">
        <v>4749.91</v>
      </c>
      <c r="D33" s="140">
        <f>C33+ROW()/1000000</f>
        <v>4749.9100330000001</v>
      </c>
    </row>
    <row r="34" spans="1:4" s="1" customFormat="1">
      <c r="A34" s="45" t="s">
        <v>134</v>
      </c>
      <c r="B34" s="45" t="s">
        <v>30</v>
      </c>
      <c r="C34" s="138">
        <v>9799.73</v>
      </c>
      <c r="D34" s="140">
        <f>C34+ROW()/1000000</f>
        <v>9799.7300340000002</v>
      </c>
    </row>
    <row r="35" spans="1:4" s="1" customFormat="1">
      <c r="A35" s="45" t="s">
        <v>61</v>
      </c>
      <c r="B35" s="45" t="s">
        <v>62</v>
      </c>
      <c r="C35" s="138">
        <v>6949.84</v>
      </c>
      <c r="D35" s="140">
        <f>C35+ROW()/1000000</f>
        <v>6949.8400350000002</v>
      </c>
    </row>
    <row r="36" spans="1:4" s="1" customFormat="1">
      <c r="A36" s="45" t="s">
        <v>146</v>
      </c>
      <c r="B36" s="45" t="s">
        <v>147</v>
      </c>
      <c r="C36" s="138">
        <v>1289.9000000000001</v>
      </c>
      <c r="D36" s="140">
        <f>C36+ROW()/1000000</f>
        <v>1289.900036</v>
      </c>
    </row>
    <row r="37" spans="1:4" s="1" customFormat="1">
      <c r="A37" s="45" t="s">
        <v>292</v>
      </c>
      <c r="B37" s="45" t="s">
        <v>293</v>
      </c>
      <c r="C37" s="138">
        <v>739.93</v>
      </c>
      <c r="D37" s="140">
        <f>C37+ROW()/1000000</f>
        <v>739.93003699999997</v>
      </c>
    </row>
    <row r="38" spans="1:4" s="1" customFormat="1">
      <c r="A38" s="45" t="s">
        <v>244</v>
      </c>
      <c r="B38" s="45" t="s">
        <v>245</v>
      </c>
      <c r="C38" s="138">
        <v>3649.86</v>
      </c>
      <c r="D38" s="140">
        <f>C38+ROW()/1000000</f>
        <v>3649.8600380000003</v>
      </c>
    </row>
    <row r="39" spans="1:4" s="1" customFormat="1">
      <c r="A39" s="45" t="s">
        <v>92</v>
      </c>
      <c r="B39" s="45" t="s">
        <v>93</v>
      </c>
      <c r="C39" s="138">
        <v>5089.7299999999996</v>
      </c>
      <c r="D39" s="140">
        <f>C39+ROW()/1000000</f>
        <v>5089.7300389999991</v>
      </c>
    </row>
    <row r="40" spans="1:4" s="1" customFormat="1">
      <c r="A40" s="45" t="s">
        <v>132</v>
      </c>
      <c r="B40" s="45" t="s">
        <v>28</v>
      </c>
      <c r="C40" s="138">
        <v>10649.8</v>
      </c>
      <c r="D40" s="140">
        <f>C40+ROW()/1000000</f>
        <v>10649.80004</v>
      </c>
    </row>
    <row r="41" spans="1:4" s="1" customFormat="1">
      <c r="A41" s="45" t="s">
        <v>180</v>
      </c>
      <c r="B41" s="45" t="s">
        <v>181</v>
      </c>
      <c r="C41" s="138">
        <v>7309.8</v>
      </c>
      <c r="D41" s="140">
        <f>C41+ROW()/1000000</f>
        <v>7309.8000410000004</v>
      </c>
    </row>
    <row r="42" spans="1:4" s="1" customFormat="1">
      <c r="A42" s="45" t="s">
        <v>218</v>
      </c>
      <c r="B42" s="45" t="s">
        <v>219</v>
      </c>
      <c r="C42" s="138">
        <v>2099.88</v>
      </c>
      <c r="D42" s="140">
        <f>C42+ROW()/1000000</f>
        <v>2099.8800420000002</v>
      </c>
    </row>
    <row r="43" spans="1:4" s="1" customFormat="1">
      <c r="A43" s="45" t="s">
        <v>66</v>
      </c>
      <c r="B43" s="45" t="s">
        <v>67</v>
      </c>
      <c r="C43" s="138">
        <v>3259.87</v>
      </c>
      <c r="D43" s="140">
        <f>C43+ROW()/1000000</f>
        <v>3259.8700429999999</v>
      </c>
    </row>
    <row r="44" spans="1:4" s="1" customFormat="1">
      <c r="A44" s="45" t="s">
        <v>105</v>
      </c>
      <c r="B44" s="45" t="s">
        <v>106</v>
      </c>
      <c r="C44" s="138">
        <v>1979.89</v>
      </c>
      <c r="D44" s="140">
        <f>C44+ROW()/1000000</f>
        <v>1979.890044</v>
      </c>
    </row>
    <row r="45" spans="1:4" s="1" customFormat="1">
      <c r="A45" s="45" t="s">
        <v>53</v>
      </c>
      <c r="B45" s="45" t="s">
        <v>32</v>
      </c>
      <c r="C45" s="138">
        <v>8309.74</v>
      </c>
      <c r="D45" s="140">
        <f>C45+ROW()/1000000</f>
        <v>8309.7400450000005</v>
      </c>
    </row>
    <row r="46" spans="1:4" s="1" customFormat="1">
      <c r="A46" s="45" t="s">
        <v>85</v>
      </c>
      <c r="B46" s="45" t="s">
        <v>86</v>
      </c>
      <c r="C46" s="138">
        <v>8269.7900000000009</v>
      </c>
      <c r="D46" s="140">
        <f>C46+ROW()/1000000</f>
        <v>8269.7900460000001</v>
      </c>
    </row>
    <row r="47" spans="1:4" s="1" customFormat="1">
      <c r="A47" s="45" t="s">
        <v>123</v>
      </c>
      <c r="B47" s="45" t="s">
        <v>24</v>
      </c>
      <c r="C47" s="138">
        <v>15659.65</v>
      </c>
      <c r="D47" s="140">
        <f>C47+ROW()/1000000</f>
        <v>15659.650046999999</v>
      </c>
    </row>
    <row r="48" spans="1:4" s="1" customFormat="1">
      <c r="A48" s="45" t="s">
        <v>102</v>
      </c>
      <c r="B48" s="45" t="s">
        <v>103</v>
      </c>
      <c r="C48" s="138">
        <v>8009.77</v>
      </c>
      <c r="D48" s="140">
        <f>C48+ROW()/1000000</f>
        <v>8009.7700480000003</v>
      </c>
    </row>
    <row r="49" spans="1:4" s="1" customFormat="1">
      <c r="A49" s="45" t="s">
        <v>120</v>
      </c>
      <c r="B49" s="45" t="s">
        <v>121</v>
      </c>
      <c r="C49" s="138">
        <v>3779.93</v>
      </c>
      <c r="D49" s="140">
        <f>C49+ROW()/1000000</f>
        <v>3779.9300490000001</v>
      </c>
    </row>
    <row r="50" spans="1:4" s="1" customFormat="1">
      <c r="A50" s="45" t="s">
        <v>191</v>
      </c>
      <c r="B50" s="45" t="s">
        <v>192</v>
      </c>
      <c r="C50" s="138">
        <v>5649.84</v>
      </c>
      <c r="D50" s="140">
        <f>C50+ROW()/1000000</f>
        <v>5649.8400499999998</v>
      </c>
    </row>
    <row r="51" spans="1:4" s="1" customFormat="1">
      <c r="A51" s="45" t="s">
        <v>157</v>
      </c>
      <c r="B51" s="45" t="s">
        <v>26</v>
      </c>
      <c r="C51" s="138">
        <v>11919.77</v>
      </c>
      <c r="D51" s="140">
        <f>C51+ROW()/1000000</f>
        <v>11919.770051000001</v>
      </c>
    </row>
    <row r="52" spans="1:4" s="1" customFormat="1">
      <c r="A52" s="45" t="s">
        <v>154</v>
      </c>
      <c r="B52" s="45" t="s">
        <v>155</v>
      </c>
      <c r="C52" s="138">
        <v>6459.79</v>
      </c>
      <c r="D52" s="140">
        <f>C52+ROW()/1000000</f>
        <v>6459.7900520000003</v>
      </c>
    </row>
    <row r="53" spans="1:4" s="1" customFormat="1">
      <c r="A53" s="45" t="s">
        <v>171</v>
      </c>
      <c r="B53" s="45" t="s">
        <v>172</v>
      </c>
      <c r="C53" s="138">
        <v>2649.83</v>
      </c>
      <c r="D53" s="140">
        <f>C53+ROW()/1000000</f>
        <v>2649.8300530000001</v>
      </c>
    </row>
    <row r="54" spans="1:4" s="1" customFormat="1">
      <c r="A54" s="45" t="s">
        <v>267</v>
      </c>
      <c r="B54" s="45" t="s">
        <v>268</v>
      </c>
      <c r="C54" s="138">
        <v>6349.83</v>
      </c>
      <c r="D54" s="140">
        <f>C54+ROW()/1000000</f>
        <v>6349.830054</v>
      </c>
    </row>
    <row r="55" spans="1:4" s="1" customFormat="1">
      <c r="A55" s="45" t="s">
        <v>225</v>
      </c>
      <c r="B55" s="45" t="s">
        <v>226</v>
      </c>
      <c r="C55" s="138">
        <v>1479.91</v>
      </c>
      <c r="D55" s="140">
        <f>C55+ROW()/1000000</f>
        <v>1479.9100550000001</v>
      </c>
    </row>
    <row r="56" spans="1:4" s="1" customFormat="1">
      <c r="A56" s="45" t="s">
        <v>264</v>
      </c>
      <c r="B56" s="45" t="s">
        <v>265</v>
      </c>
      <c r="C56" s="138">
        <v>1149.93</v>
      </c>
      <c r="D56" s="140">
        <f>C56+ROW()/1000000</f>
        <v>1149.9300560000001</v>
      </c>
    </row>
    <row r="57" spans="1:4" s="1" customFormat="1">
      <c r="A57" s="45" t="s">
        <v>177</v>
      </c>
      <c r="B57" s="45" t="s">
        <v>178</v>
      </c>
      <c r="C57" s="138">
        <v>5519.89</v>
      </c>
      <c r="D57" s="140">
        <f>C57+ROW()/1000000</f>
        <v>5519.8900570000005</v>
      </c>
    </row>
    <row r="58" spans="1:4" s="1" customFormat="1">
      <c r="A58" s="45" t="s">
        <v>142</v>
      </c>
      <c r="B58" s="45" t="s">
        <v>143</v>
      </c>
      <c r="C58" s="138">
        <v>4189.7700000000004</v>
      </c>
      <c r="D58" s="140">
        <f>C58+ROW()/1000000</f>
        <v>4189.7700580000001</v>
      </c>
    </row>
    <row r="59" spans="1:4" s="1" customFormat="1">
      <c r="A59" s="45" t="s">
        <v>358</v>
      </c>
      <c r="B59" s="45" t="s">
        <v>359</v>
      </c>
      <c r="C59" s="138">
        <v>1559.94</v>
      </c>
      <c r="D59" s="140">
        <f>C59+ROW()/1000000</f>
        <v>1559.940059</v>
      </c>
    </row>
    <row r="60" spans="1:4" s="1" customFormat="1">
      <c r="A60" s="45" t="s">
        <v>115</v>
      </c>
      <c r="B60" s="45" t="s">
        <v>116</v>
      </c>
      <c r="C60" s="138">
        <v>4199.9399999999996</v>
      </c>
      <c r="D60" s="140">
        <f>C60+ROW()/1000000</f>
        <v>4199.9400599999999</v>
      </c>
    </row>
    <row r="61" spans="1:4" s="1" customFormat="1">
      <c r="A61" s="45" t="s">
        <v>259</v>
      </c>
      <c r="B61" s="45" t="s">
        <v>260</v>
      </c>
      <c r="C61" s="138">
        <v>6989.77</v>
      </c>
      <c r="D61" s="140">
        <f>C61+ROW()/1000000</f>
        <v>6989.7700610000002</v>
      </c>
    </row>
    <row r="62" spans="1:4" s="1" customFormat="1">
      <c r="A62" s="45" t="s">
        <v>183</v>
      </c>
      <c r="B62" s="45" t="s">
        <v>184</v>
      </c>
      <c r="C62" s="138">
        <v>5619.87</v>
      </c>
      <c r="D62" s="140">
        <f>C62+ROW()/1000000</f>
        <v>5619.870062</v>
      </c>
    </row>
    <row r="63" spans="1:4" s="1" customFormat="1">
      <c r="A63" s="45" t="s">
        <v>109</v>
      </c>
      <c r="B63" s="45" t="s">
        <v>110</v>
      </c>
      <c r="C63" s="138">
        <v>5949.85</v>
      </c>
      <c r="D63" s="140">
        <f>C63+ROW()/1000000</f>
        <v>5949.8500630000008</v>
      </c>
    </row>
    <row r="64" spans="1:4" s="1" customFormat="1">
      <c r="A64" s="45" t="s">
        <v>279</v>
      </c>
      <c r="B64" s="45" t="s">
        <v>280</v>
      </c>
      <c r="C64" s="138">
        <v>1749.92</v>
      </c>
      <c r="D64" s="140">
        <f>C64+ROW()/1000000</f>
        <v>1749.9200640000001</v>
      </c>
    </row>
    <row r="65" spans="1:4" s="1" customFormat="1">
      <c r="A65" s="45" t="s">
        <v>112</v>
      </c>
      <c r="B65" s="45" t="s">
        <v>113</v>
      </c>
      <c r="C65" s="138">
        <v>479.92</v>
      </c>
      <c r="D65" s="140">
        <f>C65+ROW()/1000000</f>
        <v>479.92006500000002</v>
      </c>
    </row>
    <row r="66" spans="1:4" s="1" customFormat="1">
      <c r="A66" s="45" t="s">
        <v>136</v>
      </c>
      <c r="B66" s="45" t="s">
        <v>137</v>
      </c>
      <c r="C66" s="138">
        <v>3769.83</v>
      </c>
      <c r="D66" s="140">
        <f>C66+ROW()/1000000</f>
        <v>3769.830066</v>
      </c>
    </row>
    <row r="67" spans="1:4" s="1" customFormat="1">
      <c r="A67" s="45" t="s">
        <v>326</v>
      </c>
      <c r="B67" s="45" t="s">
        <v>327</v>
      </c>
      <c r="C67" s="138">
        <v>4829.8900000000003</v>
      </c>
      <c r="D67" s="140">
        <f>C67+ROW()/1000000</f>
        <v>4829.8900670000003</v>
      </c>
    </row>
    <row r="68" spans="1:4" s="1" customFormat="1">
      <c r="A68" s="45" t="s">
        <v>75</v>
      </c>
      <c r="B68" s="45" t="s">
        <v>76</v>
      </c>
      <c r="C68" s="138">
        <v>4309.8100000000004</v>
      </c>
      <c r="D68" s="140">
        <f>C68+ROW()/1000000</f>
        <v>4309.8100680000007</v>
      </c>
    </row>
    <row r="69" spans="1:4" s="1" customFormat="1">
      <c r="A69" s="45" t="s">
        <v>229</v>
      </c>
      <c r="B69" s="45" t="s">
        <v>230</v>
      </c>
      <c r="C69" s="138">
        <v>6379.87</v>
      </c>
      <c r="D69" s="140">
        <f>C69+ROW()/1000000</f>
        <v>6379.8700689999996</v>
      </c>
    </row>
    <row r="70" spans="1:4" s="1" customFormat="1">
      <c r="A70" s="45" t="s">
        <v>129</v>
      </c>
      <c r="B70" s="45" t="s">
        <v>130</v>
      </c>
      <c r="C70" s="138">
        <v>4789.79</v>
      </c>
      <c r="D70" s="140">
        <f>C70+ROW()/1000000</f>
        <v>4789.79007</v>
      </c>
    </row>
    <row r="71" spans="1:4" s="1" customFormat="1">
      <c r="A71" s="45" t="s">
        <v>204</v>
      </c>
      <c r="B71" s="45" t="s">
        <v>205</v>
      </c>
      <c r="C71" s="138">
        <v>3669.85</v>
      </c>
      <c r="D71" s="140">
        <f>C71+ROW()/1000000</f>
        <v>3669.8500709999998</v>
      </c>
    </row>
    <row r="72" spans="1:4" s="1" customFormat="1">
      <c r="A72" s="45" t="s">
        <v>195</v>
      </c>
      <c r="B72" s="45" t="s">
        <v>196</v>
      </c>
      <c r="C72" s="138">
        <v>239.96</v>
      </c>
      <c r="D72" s="140">
        <f>C72+ROW()/1000000</f>
        <v>239.960072</v>
      </c>
    </row>
  </sheetData>
  <mergeCells count="2">
    <mergeCell ref="A1:Y1"/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Dashboard</vt:lpstr>
      <vt:lpstr>Raw Data</vt:lpstr>
      <vt:lpstr>Analysis</vt:lpstr>
      <vt:lpstr>Customers</vt:lpstr>
      <vt:lpstr>Filter</vt:lpstr>
      <vt:lpstr>Date_Time</vt:lpstr>
      <vt:lpstr>Whatif</vt:lpstr>
      <vt:lpstr>Regression</vt:lpstr>
      <vt:lpstr>Text_Lists</vt:lpstr>
      <vt:lpstr>Visualizations</vt:lpstr>
      <vt:lpstr>Insights</vt:lpstr>
      <vt:lpstr>Pivot_Guide</vt:lpstr>
      <vt:lpstr>Dash_Calc</vt:lpstr>
      <vt:lpstr>crit_C</vt:lpstr>
      <vt:lpstr>crit_R</vt:lpstr>
      <vt:lpstr>sel_Cat</vt:lpstr>
      <vt:lpstr>sel_Cat_1</vt:lpstr>
      <vt:lpstr>sel_From</vt:lpstr>
      <vt:lpstr>sel_From_1</vt:lpstr>
      <vt:lpstr>sel_Region</vt:lpstr>
      <vt:lpstr>sel_Region_1</vt:lpstr>
      <vt:lpstr>sel_To</vt:lpstr>
      <vt:lpstr>sel_To_1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Bhavsar Krunal</dc:creator>
  <cp:lastModifiedBy>Bhavsar Krunal</cp:lastModifiedBy>
  <dcterms:created xsi:type="dcterms:W3CDTF">2026-10-29T03:59:20Z</dcterms:created>
  <dcterms:modified xsi:type="dcterms:W3CDTF">2026-10-29T04:52:36Z</dcterms:modified>
</cp:coreProperties>
</file>